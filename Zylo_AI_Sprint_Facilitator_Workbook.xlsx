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Dashboard" sheetId="1" r:id="rId4"/>
    <sheet state="visible" name="Day 1 — Discovery" sheetId="2" r:id="rId5"/>
    <sheet state="visible" name="Day 2 — Assessment" sheetId="3" r:id="rId6"/>
    <sheet state="visible" name="Day 3 — Opportunity Map" sheetId="4" r:id="rId7"/>
    <sheet state="visible" name="Day 4 — ROI Model" sheetId="5" r:id="rId8"/>
    <sheet state="visible" name="Day 5 — Conversion" sheetId="6" r:id="rId9"/>
    <sheet state="visible" name="Sprint Retrospective" sheetId="7" r:id="rId10"/>
  </sheets>
  <definedNames/>
  <calcPr/>
  <extLst>
    <ext uri="GoogleSheetsCustomDataVersion2">
      <go:sheetsCustomData xmlns:go="http://customooxmlschemas.google.com/" r:id="rId11" roundtripDataChecksum="dEg/HtqCyuEzT1Ngua6A0HouzBRph9CwD0QaWkIXXjQ="/>
    </ext>
  </extLst>
</workbook>
</file>

<file path=xl/sharedStrings.xml><?xml version="1.0" encoding="utf-8"?>
<sst xmlns="http://schemas.openxmlformats.org/spreadsheetml/2006/main" count="527" uniqueCount="343">
  <si>
    <t>ZYLO AI READINESS SPRINT — FACILITATOR DASHBOARD</t>
  </si>
  <si>
    <t>Internal Use Only  |  Sprint Lead + Business Analyst</t>
  </si>
  <si>
    <t xml:space="preserve">  CLIENT INFORMATION</t>
  </si>
  <si>
    <t>Client Company Name</t>
  </si>
  <si>
    <t>Primary Contact (CEO/Founder)</t>
  </si>
  <si>
    <t>Contact Email</t>
  </si>
  <si>
    <t>Contact Phone / WhatsApp</t>
  </si>
  <si>
    <t>Company Industry</t>
  </si>
  <si>
    <t>Company Headcount</t>
  </si>
  <si>
    <t>Estimated Annual Revenue</t>
  </si>
  <si>
    <t>Headquarters Location</t>
  </si>
  <si>
    <t>Sprint Confirmed Date</t>
  </si>
  <si>
    <t xml:space="preserve">  SPRINT TEAM ASSIGNMENT</t>
  </si>
  <si>
    <t>Role</t>
  </si>
  <si>
    <t>Name</t>
  </si>
  <si>
    <t>Email</t>
  </si>
  <si>
    <t>Phone/WhatsApp</t>
  </si>
  <si>
    <t>Notes</t>
  </si>
  <si>
    <t>Sprint Lead — AI Strategy Consultant</t>
  </si>
  <si>
    <t>Business Analyst</t>
  </si>
  <si>
    <t>Technical Architect (Day 3+)</t>
  </si>
  <si>
    <t>Sales Rep / Account Manager</t>
  </si>
  <si>
    <t xml:space="preserve">  SPRINT SCHEDULE</t>
  </si>
  <si>
    <t>Day</t>
  </si>
  <si>
    <t>Date</t>
  </si>
  <si>
    <t>Time (Start)</t>
  </si>
  <si>
    <t>Duration</t>
  </si>
  <si>
    <t>Format</t>
  </si>
  <si>
    <t>Key Attendees Required</t>
  </si>
  <si>
    <t>Zoom Link</t>
  </si>
  <si>
    <t>Status</t>
  </si>
  <si>
    <t>Day 1</t>
  </si>
  <si>
    <t>4–6 hours</t>
  </si>
  <si>
    <t>Zoom / In-person</t>
  </si>
  <si>
    <t>CEO (required) + COO + 1 Dept Head</t>
  </si>
  <si>
    <t>Scheduled</t>
  </si>
  <si>
    <t>Day 2</t>
  </si>
  <si>
    <t>4–5 hours</t>
  </si>
  <si>
    <t>Ops Lead / IT Manager</t>
  </si>
  <si>
    <t>Day 3 AM</t>
  </si>
  <si>
    <t>3–4 hours</t>
  </si>
  <si>
    <t>Internal Only</t>
  </si>
  <si>
    <t>Sprint Lead + Technical Architect</t>
  </si>
  <si>
    <t>Internal</t>
  </si>
  <si>
    <t>Day 3 PM</t>
  </si>
  <si>
    <t>2 hours</t>
  </si>
  <si>
    <t>CEO + Key Stakeholders</t>
  </si>
  <si>
    <t>Day 4</t>
  </si>
  <si>
    <t>CEO + Ops Lead</t>
  </si>
  <si>
    <t>Day 5</t>
  </si>
  <si>
    <t>2.5–3 hours</t>
  </si>
  <si>
    <t>CEO + ALL Stakeholders + Investors if possible</t>
  </si>
  <si>
    <t>CRITICAL</t>
  </si>
  <si>
    <t xml:space="preserve">  PRE-SPRINT CHECKLIST</t>
  </si>
  <si>
    <t>#</t>
  </si>
  <si>
    <t>Checklist Item</t>
  </si>
  <si>
    <t>Owner</t>
  </si>
  <si>
    <t>Due By</t>
  </si>
  <si>
    <t>Done?</t>
  </si>
  <si>
    <t>1</t>
  </si>
  <si>
    <t>Qualification call completed — confirmed budget authority + AI intent</t>
  </si>
  <si>
    <t>Rep</t>
  </si>
  <si>
    <t>Before sprint confirmed</t>
  </si>
  <si>
    <t>☐</t>
  </si>
  <si>
    <t>2</t>
  </si>
  <si>
    <t>NDA signed via DocuSign</t>
  </si>
  <si>
    <t>Before Day 1</t>
  </si>
  <si>
    <t>3</t>
  </si>
  <si>
    <t>Client Workbook (Pre-Sale) sent to client</t>
  </si>
  <si>
    <t>3 days before Day 1</t>
  </si>
  <si>
    <t>4</t>
  </si>
  <si>
    <t>Client Workbook Business Profile section received back</t>
  </si>
  <si>
    <t>24h before Day 1</t>
  </si>
  <si>
    <t>5</t>
  </si>
  <si>
    <t>Sprint Lead briefed on playbook and client context</t>
  </si>
  <si>
    <t>Sprint Lead</t>
  </si>
  <si>
    <t>48h before Day 1</t>
  </si>
  <si>
    <t>6</t>
  </si>
  <si>
    <t>Pre-Sprint Research Brief completed by Sprint Lead</t>
  </si>
  <si>
    <t>7</t>
  </si>
  <si>
    <t>Technical Architect briefed and Day 3 availability confirmed</t>
  </si>
  <si>
    <t>8</t>
  </si>
  <si>
    <t>Day 1 agenda sent to client</t>
  </si>
  <si>
    <t>9</t>
  </si>
  <si>
    <t>Zoom links created and tested for all 5 days</t>
  </si>
  <si>
    <t>10</t>
  </si>
  <si>
    <t>All sprint team contacts shared with client</t>
  </si>
  <si>
    <t>DAY 1 — BUSINESS DISCOVERY &amp; STAKEHOLDER ALIGNMENT</t>
  </si>
  <si>
    <t>Sprint Lead runs all sessions  |  BA captures everything  |  DO NOT PITCH on Day 1</t>
  </si>
  <si>
    <t xml:space="preserve">  SESSION 1 (AM): COMPANY OVERVIEW &amp; GOALS</t>
  </si>
  <si>
    <t xml:space="preserve">  ⚑  Key rule: Ask more questions than you answer. Your job today is to listen, understand, and build trust.</t>
  </si>
  <si>
    <t>Discovery Question (AM Session)</t>
  </si>
  <si>
    <t>Client Answer / Notes</t>
  </si>
  <si>
    <t>Follow-Up Required?</t>
  </si>
  <si>
    <t>What does the company do and who are your primary customers?</t>
  </si>
  <si>
    <t>What are your main revenue streams and approximate revenue breakdown?</t>
  </si>
  <si>
    <t>How many full-time employees and what are the main departments?</t>
  </si>
  <si>
    <t>What does "winning" look like for this business in 12 months?</t>
  </si>
  <si>
    <t>What are the 3 biggest strategic priorities for the next 12 months?</t>
  </si>
  <si>
    <t>What is currently holding you back from those priorities?</t>
  </si>
  <si>
    <t>Who are your main competitors and how do you differentiate?</t>
  </si>
  <si>
    <t>What technology investments have you made in the last 2 years?</t>
  </si>
  <si>
    <t xml:space="preserve">  SESSION 2 (PM): PAIN POINTS &amp; PROCESS DEEP-DIVE</t>
  </si>
  <si>
    <t>Discovery Question (PM Session)</t>
  </si>
  <si>
    <t>Process Flagged?</t>
  </si>
  <si>
    <t>Priority (H/M/L)</t>
  </si>
  <si>
    <t>Walk us through a typical week for your operations team — what does it look like?</t>
  </si>
  <si>
    <t>Where does your team spend the most time on work that doesn't require human judgment?</t>
  </si>
  <si>
    <t>Where do errors, delays, or miscommunications happen most often?</t>
  </si>
  <si>
    <t>What would you automate first if cost and complexity were no object?</t>
  </si>
  <si>
    <t>What reports or data do you wish you had but currently don't?</t>
  </si>
  <si>
    <t>Where are customers having a poor experience due to slow internal processes?</t>
  </si>
  <si>
    <t>What manual handoffs exist between departments that cause delays?</t>
  </si>
  <si>
    <t>What data do you already have that you're not currently using?</t>
  </si>
  <si>
    <t>How long does it take to onboard a new client end-to-end?</t>
  </si>
  <si>
    <t>If your best operations person left tomorrow, what knowledge would be lost?</t>
  </si>
  <si>
    <t xml:space="preserve">  PROCESS INVENTORY LOG — Capture All Manual Processes Identified Today</t>
  </si>
  <si>
    <t>Process Name</t>
  </si>
  <si>
    <t>Department</t>
  </si>
  <si>
    <t>Description (what happens manually)</t>
  </si>
  <si>
    <t>Est. Hours/Week</t>
  </si>
  <si>
    <t>Frequency</t>
  </si>
  <si>
    <t>Initial Priority</t>
  </si>
  <si>
    <t xml:space="preserve">  DAY 1 SUMMARY — Complete Before End of Day</t>
  </si>
  <si>
    <t>Top 3 Pain Areas Identified (in priority order)</t>
  </si>
  <si>
    <t>Business Goals Summary (what "winning" looks like in 12 months)</t>
  </si>
  <si>
    <t>Key Stakeholder Dynamics (who has the real influence in this company?)</t>
  </si>
  <si>
    <t>Hypothesis confirmed from Pre-Sprint Brief</t>
  </si>
  <si>
    <t>New hypothesis raised by Day 1 (not in Pre-Sprint Brief)</t>
  </si>
  <si>
    <t>Red flags or risks noticed (budget concerns, scepticism, complexity)</t>
  </si>
  <si>
    <t>Day 1 client energy level (Engaged / Neutral / Cautious)</t>
  </si>
  <si>
    <t>Action items before Day 2</t>
  </si>
  <si>
    <t>DAY 2 — CURRENT STATE ASSESSMENT</t>
  </si>
  <si>
    <t>Zylo AI Readiness Matrix™  |  Score each process across 4 dimensions  |  Scale: 1 (lowest) to 5 (highest)</t>
  </si>
  <si>
    <t xml:space="preserve">  SCORING GUIDE:  Axis 1: Process Maturity (1=Chaotic→5=Optimised)  |  Axis 2: Data Readiness (1=No Data→5=Rich)  |  Axis 3: Business Impact (1=Negligible→5=Critical)  |  Axis 4: Integration Complexity (1=Very Complex→5=Simple)</t>
  </si>
  <si>
    <t xml:space="preserve">  FORMULA: AI Priority Index = (Axis1 × 1.0) + (Axis2 × 1.5) + (Axis3 × 2.0) + (Axis4 × 1.5)  |  Max = 30  |  AI Readiness Score = (API ÷ 30) × 100</t>
  </si>
  <si>
    <t>Axis 1
Process
Maturity</t>
  </si>
  <si>
    <t>Axis 2
Data
Readiness</t>
  </si>
  <si>
    <t>Axis 3
Business
Impact</t>
  </si>
  <si>
    <t>Axis 4
Integration
Complexity</t>
  </si>
  <si>
    <t>AI Priority
Index (API)</t>
  </si>
  <si>
    <t>AI Score
(/100)</t>
  </si>
  <si>
    <t>Notes / Data Sources</t>
  </si>
  <si>
    <t>Lead Gen</t>
  </si>
  <si>
    <t>COMPANY AI READINESS SCORE</t>
  </si>
  <si>
    <t>← This is the client's AI Readiness Score  (0–33=Starter | 34–66=Builder | 67–100=Scaler)</t>
  </si>
  <si>
    <t xml:space="preserve">  TECHNOLOGY STACK AUDIT</t>
  </si>
  <si>
    <t>Category</t>
  </si>
  <si>
    <t>System / Tool</t>
  </si>
  <si>
    <t>Version / Plan</t>
  </si>
  <si>
    <t>API Available?</t>
  </si>
  <si>
    <t>Data Quality</t>
  </si>
  <si>
    <t>Integration Notes</t>
  </si>
  <si>
    <t>CRM</t>
  </si>
  <si>
    <t>ERP / Operations</t>
  </si>
  <si>
    <t>Accounting / Finance</t>
  </si>
  <si>
    <t>Communication (email/chat)</t>
  </si>
  <si>
    <t>Marketing Automation</t>
  </si>
  <si>
    <t>Analytics / Reporting</t>
  </si>
  <si>
    <t>Project Management</t>
  </si>
  <si>
    <t>Cloud / Infrastructure</t>
  </si>
  <si>
    <t>Custom / Other</t>
  </si>
  <si>
    <t xml:space="preserve">  DATA INVENTORY</t>
  </si>
  <si>
    <t>Data Type</t>
  </si>
  <si>
    <t>Where Stored</t>
  </si>
  <si>
    <t>Volume / History</t>
  </si>
  <si>
    <t>Quality (1-5)</t>
  </si>
  <si>
    <t>Accessible?</t>
  </si>
  <si>
    <t>Notes for AI Use</t>
  </si>
  <si>
    <t>Customer / CRM data</t>
  </si>
  <si>
    <t>Transaction / Sales history</t>
  </si>
  <si>
    <t>Operational / Process logs</t>
  </si>
  <si>
    <t>Financial records</t>
  </si>
  <si>
    <t>Communication data (emails, tickets)</t>
  </si>
  <si>
    <t>Product / Inventory data</t>
  </si>
  <si>
    <t>HR / Team data</t>
  </si>
  <si>
    <t>DAY 3 — AI OPPORTUNITY MAP</t>
  </si>
  <si>
    <t>Morning: Internal Zylo work only  |  Afternoon: Present to client for validation</t>
  </si>
  <si>
    <t xml:space="preserve">  AI Types: A = AI Agent  |  WA = Workflow Automation  |  PA = Predictive Analytics  |  DI = Document Intelligence  |  DA = Data &amp; Dashboard</t>
  </si>
  <si>
    <t>Opportunity Name
(Plain Language)</t>
  </si>
  <si>
    <t>AI Type
(A/WA/PA/DI/DA)</t>
  </si>
  <si>
    <t>Axis 2
Data
Ready</t>
  </si>
  <si>
    <t>Axis 3
Impact</t>
  </si>
  <si>
    <t>Axis 4
Complexity</t>
  </si>
  <si>
    <t>AI Priority
Index</t>
  </si>
  <si>
    <t>Est. Build
Time (wks)</t>
  </si>
  <si>
    <t>Phase
(1/2/3)</t>
  </si>
  <si>
    <t>Description &amp; Expected Outcome</t>
  </si>
  <si>
    <t xml:space="preserve">  TOP 5 PRIORITIES — Validated by Client in Day 3 Afternoon Session</t>
  </si>
  <si>
    <t>Rank</t>
  </si>
  <si>
    <t>Opportunity Name</t>
  </si>
  <si>
    <t>AI Priority Index</t>
  </si>
  <si>
    <t>Phase</t>
  </si>
  <si>
    <t>Client Reaction</t>
  </si>
  <si>
    <t>Confirmed? (Y/N)</t>
  </si>
  <si>
    <t xml:space="preserve">  ⚑  Facilitator Note: In the client session, present the full map first, then ask: "Which of these opportunities excites you most? Which concerns you? Are there any we've missed?" Validate, don't sell.</t>
  </si>
  <si>
    <t>DAY 4 — PRIORITISATION &amp; ROI MODEL</t>
  </si>
  <si>
    <t>Build ROI model for Top 5 opportunities  |  Use client's actual cost data  |  Never use generic assumptions without flagging them</t>
  </si>
  <si>
    <t xml:space="preserve">  COLOUR GUIDE:  Blue text = hardcoded inputs (client provides)  |  Black text = calculated by formula  |  Yellow background = key assumption cell needing attention</t>
  </si>
  <si>
    <t xml:space="preserve">  CLIENT COST ASSUMPTIONS — Get from CEO/Ops Lead on Day 4</t>
  </si>
  <si>
    <t>Assumption</t>
  </si>
  <si>
    <t>Value</t>
  </si>
  <si>
    <t>Unit</t>
  </si>
  <si>
    <t>Source / Notes</t>
  </si>
  <si>
    <t>Average hourly cost per employee (fully-loaded)</t>
  </si>
  <si>
    <t>$/hour</t>
  </si>
  <si>
    <t>Senior employee hourly rate (managers/specialists)</t>
  </si>
  <si>
    <t>Average monthly revenue per customer</t>
  </si>
  <si>
    <t>$</t>
  </si>
  <si>
    <t>Monthly customer churn rate (current)</t>
  </si>
  <si>
    <t>%</t>
  </si>
  <si>
    <t>Average cost of a customer complaint / error</t>
  </si>
  <si>
    <t>Number of full-time employees</t>
  </si>
  <si>
    <t>headcount</t>
  </si>
  <si>
    <t xml:space="preserve">  OPPORTUNITY 1 — ROI MODEL</t>
  </si>
  <si>
    <t>AI Type</t>
  </si>
  <si>
    <t>Brief Description</t>
  </si>
  <si>
    <t>ROI Input</t>
  </si>
  <si>
    <t>Formula / Basis</t>
  </si>
  <si>
    <t>Annual Value ($)</t>
  </si>
  <si>
    <t>Hours saved per week (estimated)</t>
  </si>
  <si>
    <t>hrs/wk</t>
  </si>
  <si>
    <t>From Day 2 process scoring</t>
  </si>
  <si>
    <t>Hourly cost used</t>
  </si>
  <si>
    <t>$/hr</t>
  </si>
  <si>
    <t>From assumptions above</t>
  </si>
  <si>
    <t>Annual labour saving</t>
  </si>
  <si>
    <t>Error / rework reduction (annual)</t>
  </si>
  <si>
    <t>Estimated from Day 1/2 findings</t>
  </si>
  <si>
    <t>Build cost estimate (one-time)</t>
  </si>
  <si>
    <t>From Technical Architect estimate</t>
  </si>
  <si>
    <t>Annual maintenance cost</t>
  </si>
  <si>
    <t>Typically 15-20% of build cost</t>
  </si>
  <si>
    <t>Net Year 1 ROI</t>
  </si>
  <si>
    <t>ROI Payback Period</t>
  </si>
  <si>
    <t>months</t>
  </si>
  <si>
    <t xml:space="preserve">  OPPORTUNITY 2 — ROI MODEL</t>
  </si>
  <si>
    <t xml:space="preserve">  OPPORTUNITY 3 — ROI MODEL</t>
  </si>
  <si>
    <t xml:space="preserve">  OPPORTUNITY 4 — ROI MODEL</t>
  </si>
  <si>
    <t xml:space="preserve">  OPPORTUNITY 5 — ROI MODEL</t>
  </si>
  <si>
    <t>DAY 5 — ROADMAP PRESENTATION &amp; CONVERSION</t>
  </si>
  <si>
    <t>This is the ONLY session that matters for conversion — Invest extra preparation — Practice the delivery</t>
  </si>
  <si>
    <t xml:space="preserve">  PRE-DELIVERY CHECKLIST — Complete Before Day 5</t>
  </si>
  <si>
    <t>All 6 client deliverables completed and internally reviewed by second team member</t>
  </si>
  <si>
    <t>ROI model uses client's actual data — NOT generic benchmarks</t>
  </si>
  <si>
    <t>90-Day Roadmap timelines reviewed and approved by Technical Architect</t>
  </si>
  <si>
    <t>Sprint Summary Presentation designed to Zylo brand standards (not a rough deck)</t>
  </si>
  <si>
    <t>AI Readiness Score calculated and prominently displayed on slide 1</t>
  </si>
  <si>
    <t>Visual AI Opportunity Map (quadrant) included in presentation</t>
  </si>
  <si>
    <t>Industry Benchmark section included in roadmap document</t>
  </si>
  <si>
    <t>Proposal ready to send immediately if client says yes at end of Day 5</t>
  </si>
  <si>
    <t>Technical Architect on standby for technical Q&amp;A during presentation</t>
  </si>
  <si>
    <t>Loom debrief video recording plan confirmed (record same evening)</t>
  </si>
  <si>
    <t xml:space="preserve">  PRESENTATION STRUCTURE — 2.5 TO 3 HOURS</t>
  </si>
  <si>
    <t>Time</t>
  </si>
  <si>
    <t>Section</t>
  </si>
  <si>
    <t>Facilitator Notes</t>
  </si>
  <si>
    <t>0:00</t>
  </si>
  <si>
    <t>5 min</t>
  </si>
  <si>
    <t>Welcome &amp; Sprint Recap</t>
  </si>
  <si>
    <t>Thank everyone for the 5 days. Brief summary of what was covered.</t>
  </si>
  <si>
    <t>0:05</t>
  </si>
  <si>
    <t>10 min</t>
  </si>
  <si>
    <t>AI Readiness Score</t>
  </si>
  <si>
    <t>Present the score and tier. Explain what it means in context of their industry.</t>
  </si>
  <si>
    <t>0:15</t>
  </si>
  <si>
    <t>20 min</t>
  </si>
  <si>
    <t>Full AI Opportunity Map</t>
  </si>
  <si>
    <t>Walk through all 12 opportunities. Present the quadrant visual. Let client ask questions.</t>
  </si>
  <si>
    <t>0:35</t>
  </si>
  <si>
    <t>40 min</t>
  </si>
  <si>
    <t>Top 5 Opportunities — Detail</t>
  </si>
  <si>
    <t>For each: name, description, ROI estimate, build time, dependencies. Use plain language.</t>
  </si>
  <si>
    <t>1:15</t>
  </si>
  <si>
    <t>Industry Benchmark</t>
  </si>
  <si>
    <t>Show where the client sits vs their peers. Make the urgency real.</t>
  </si>
  <si>
    <t>1:35</t>
  </si>
  <si>
    <t>30 min</t>
  </si>
  <si>
    <t>90-Day Roadmap</t>
  </si>
  <si>
    <t>Phase 1 (0-30 days), Phase 2 (30-60 days), Phase 3 (60-90 days). Owners and outcomes.</t>
  </si>
  <si>
    <t>2:05</t>
  </si>
  <si>
    <t>15 min</t>
  </si>
  <si>
    <t>Q&amp;A</t>
  </si>
  <si>
    <t>Open floor. Technical Architect available on standby for technical questions.</t>
  </si>
  <si>
    <t>2:20</t>
  </si>
  <si>
    <t>The Conversion Moment</t>
  </si>
  <si>
    <t>Use the conversion script. Present the next step. Ask for the proposal request.</t>
  </si>
  <si>
    <t>2:30</t>
  </si>
  <si>
    <t>0 min</t>
  </si>
  <si>
    <t>Close</t>
  </si>
  <si>
    <t>Deliver all assets same day. Record Loom video same evening.</t>
  </si>
  <si>
    <t xml:space="preserve">  CONVERSION SCRIPT — USE THESE EXACT WORDS</t>
  </si>
  <si>
    <t>"You now have a clear picture of the 3 AI systems that will have the highest impact on your business in the next 90 days. We've modelled the ROI — conservatively, you're looking at [X hours/month saved] and [$Y in annual savings] once Phase 1 is live. We can begin Phase 1 within [2 weeks]. The build will take [timeframe] and the total investment is in the range of [$X–$Y]. Would you like us to send a formal proposal so you can review the scope and sign off?"</t>
  </si>
  <si>
    <t xml:space="preserve">  OBJECTION HANDLING</t>
  </si>
  <si>
    <t>Objection</t>
  </si>
  <si>
    <t>Response</t>
  </si>
  <si>
    <t>We need more time to think.</t>
  </si>
  <si>
    <t>"Absolutely — I'll send everything over today so your team can review. Is there anything specific you'd like me to address in the proposal to make the decision easier?"</t>
  </si>
  <si>
    <t>We don't have the budget right now.</t>
  </si>
  <si>
    <t>"I understand. The ROI model shows Phase 1 pays for itself in [X months]. Would it help to structure the payment to start after the first milestone is live?"</t>
  </si>
  <si>
    <t>Can we do this with our internal team?</t>
  </si>
  <si>
    <t>"You could. The roadmap gives you everything you need to start. The question is timeline — our team can deliver Phase 1 in [X weeks]. How long would it take your internal team to get to the same place?"</t>
  </si>
  <si>
    <t>We want to get other quotes.</t>
  </si>
  <si>
    <t>"That makes sense. Just know that the roadmap you have is specific to your business — other vendors will be quoting based on a brief. We're quoting based on 5 days of understanding your operations."</t>
  </si>
  <si>
    <t>Not the right time — maybe in 3 months.</t>
  </si>
  <si>
    <t>"No problem at all. I'll check in then. Is it okay if I send a quick message in 8 weeks to see where things stand?"</t>
  </si>
  <si>
    <t xml:space="preserve">  DAY 5 OUTCOME LOG</t>
  </si>
  <si>
    <t>Client Decision (Yes / Not Yet / No)</t>
  </si>
  <si>
    <t>If Yes — Scope of Phase 1 requested</t>
  </si>
  <si>
    <t>If Not Yet — Primary objection raised</t>
  </si>
  <si>
    <t>Follow-up action scheduled</t>
  </si>
  <si>
    <t>Follow-up date</t>
  </si>
  <si>
    <t>Assigned rep for follow-up</t>
  </si>
  <si>
    <t>Proposal sent date</t>
  </si>
  <si>
    <t>Sprint conversion status (update in CRM)</t>
  </si>
  <si>
    <t>SPRINT RETROSPECTIVE — INTERNAL SESSION</t>
  </si>
  <si>
    <t>Mandatory within 48 hours of Day 5  |  Attendees: Sprint Lead + BA + Technical Architect + Rep</t>
  </si>
  <si>
    <t xml:space="preserve">  SPRINT RECORD</t>
  </si>
  <si>
    <t>Sprint Number</t>
  </si>
  <si>
    <t>Client Company</t>
  </si>
  <si>
    <t>Client Industry</t>
  </si>
  <si>
    <t>AI Readiness Score Delivered</t>
  </si>
  <si>
    <t>Tier Assigned (Starter/Builder/Scaler)</t>
  </si>
  <si>
    <t>Day 5 Conversion Signal (Yes/Not Yet/No)</t>
  </si>
  <si>
    <t>Date of Retrospective</t>
  </si>
  <si>
    <t xml:space="preserve">  RETROSPECTIVE QUESTIONS — 30-MINUTE AGENDA</t>
  </si>
  <si>
    <t xml:space="preserve">  1. What went well?</t>
  </si>
  <si>
    <t>[Record 2-3 specific things that worked well in this sprint. Be specific about day, action, and outcome.]</t>
  </si>
  <si>
    <t xml:space="preserve">  2. What did NOT work?</t>
  </si>
  <si>
    <t>[For each issue: On Day X, [what happened] — client reaction was [X] — we should have done [Y] instead]</t>
  </si>
  <si>
    <t xml:space="preserve">  3. What did we miss?</t>
  </si>
  <si>
    <t>[What did the client reveal that we did not capture in the deliverables? Any signals we ignored?]</t>
  </si>
  <si>
    <t xml:space="preserve">  4. ONE change for the next sprint</t>
  </si>
  <si>
    <t>[Agree on ONE specific, actionable change to make before the next sprint. Write it here.]</t>
  </si>
  <si>
    <t xml:space="preserve">  5. Quality assessment of deliverables</t>
  </si>
  <si>
    <t>[Rate each deliverable: Business Profile / Process Inventory / Opportunity Map / ROI Model / Roadmap / Deck — Rate 1-5]</t>
  </si>
  <si>
    <t xml:space="preserve">  6. Client energy &amp; engagement (Day 1–5)</t>
  </si>
  <si>
    <t>[Describe the client's level of engagement across the sprint. What changed? Why?]</t>
  </si>
  <si>
    <t xml:space="preserve">  CUMULATIVE LEARNING LOG — Update after every sprint</t>
  </si>
  <si>
    <t>Sprint #</t>
  </si>
  <si>
    <t>Key Learning</t>
  </si>
  <si>
    <t>Change Made to Framework</t>
  </si>
  <si>
    <t>Impact Observed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</si>
</sst>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;($#,##0);-"/>
  </numFmts>
  <fonts count="22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1.0"/>
      <color rgb="FFFFFFFF"/>
      <name val="Arial"/>
    </font>
    <font>
      <b/>
      <sz val="11.0"/>
      <color rgb="FFFFFFFF"/>
      <name val="Arial"/>
    </font>
    <font>
      <b/>
      <sz val="10.0"/>
      <color rgb="FF0D2B55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991B1B"/>
      <name val="Arial"/>
    </font>
    <font>
      <sz val="10.0"/>
      <color rgb="FF444444"/>
      <name val="Arial"/>
    </font>
    <font>
      <sz val="12.0"/>
      <color rgb="FF1A6BC4"/>
      <name val="Arial"/>
    </font>
    <font>
      <i/>
      <sz val="10.0"/>
      <color rgb="FF7A5900"/>
      <name val="Arial"/>
    </font>
    <font>
      <sz val="11.0"/>
      <color rgb="FF444444"/>
      <name val="Arial"/>
    </font>
    <font>
      <b/>
      <sz val="13.0"/>
      <color rgb="FFC86011"/>
      <name val="Arial"/>
    </font>
    <font>
      <i/>
      <sz val="10.0"/>
      <color rgb="FFFFFFFF"/>
      <name val="Arial"/>
    </font>
    <font>
      <b/>
      <sz val="10.0"/>
      <color rgb="FF0000FF"/>
      <name val="Arial"/>
    </font>
    <font>
      <sz val="10.0"/>
      <color rgb="FF0000FF"/>
      <name val="Arial"/>
    </font>
    <font>
      <i/>
      <sz val="10.0"/>
      <color rgb="FF444444"/>
      <name val="Arial"/>
    </font>
    <font>
      <b/>
      <sz val="10.0"/>
      <color rgb="FF146B3A"/>
      <name val="Arial"/>
    </font>
    <font>
      <b/>
      <i/>
      <sz val="11.0"/>
      <color rgb="FFFFFFFF"/>
      <name val="Arial"/>
    </font>
    <font>
      <b/>
      <sz val="11.0"/>
      <color rgb="FF0D2B55"/>
      <name val="Arial"/>
    </font>
    <font>
      <i/>
      <sz val="10.0"/>
      <color rgb="FF666666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D2B55"/>
        <bgColor rgb="FF0D2B55"/>
      </patternFill>
    </fill>
    <fill>
      <patternFill patternType="solid">
        <fgColor rgb="FF1A6BC4"/>
        <bgColor rgb="FF1A6BC4"/>
      </patternFill>
    </fill>
    <fill>
      <patternFill patternType="solid">
        <fgColor rgb="FFEEF4FC"/>
        <bgColor rgb="FFEEF4FC"/>
      </patternFill>
    </fill>
    <fill>
      <patternFill patternType="solid">
        <fgColor rgb="FFFFFFFF"/>
        <bgColor rgb="FFFFFFFF"/>
      </patternFill>
    </fill>
    <fill>
      <patternFill patternType="solid">
        <fgColor rgb="FFF5F6FA"/>
        <bgColor rgb="FFF5F6FA"/>
      </patternFill>
    </fill>
    <fill>
      <patternFill patternType="solid">
        <fgColor rgb="FFFDE8E8"/>
        <bgColor rgb="FFFDE8E8"/>
      </patternFill>
    </fill>
    <fill>
      <patternFill patternType="solid">
        <fgColor rgb="FFFFF3CD"/>
        <bgColor rgb="FFFFF3CD"/>
      </patternFill>
    </fill>
    <fill>
      <patternFill patternType="solid">
        <fgColor rgb="FFD6E4F7"/>
        <bgColor rgb="FFD6E4F7"/>
      </patternFill>
    </fill>
    <fill>
      <patternFill patternType="solid">
        <fgColor rgb="FFFFFFC0"/>
        <bgColor rgb="FFFFFFC0"/>
      </patternFill>
    </fill>
    <fill>
      <patternFill patternType="solid">
        <fgColor rgb="FFE6F4EA"/>
        <bgColor rgb="FFE6F4EA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2" fontId="7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left" vertical="center"/>
    </xf>
    <xf borderId="4" fillId="6" fontId="6" numFmtId="0" xfId="0" applyAlignment="1" applyBorder="1" applyFill="1" applyFont="1">
      <alignment horizontal="left" vertical="center"/>
    </xf>
    <xf borderId="4" fillId="7" fontId="6" numFmtId="0" xfId="0" applyAlignment="1" applyBorder="1" applyFill="1" applyFont="1">
      <alignment horizontal="left" vertical="center"/>
    </xf>
    <xf borderId="4" fillId="7" fontId="8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center" vertical="center"/>
    </xf>
    <xf borderId="1" fillId="8" fontId="11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shrinkToFit="0" vertical="center" wrapText="1"/>
    </xf>
    <xf borderId="1" fillId="9" fontId="11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ont="1">
      <alignment horizontal="left" readingOrder="0" vertical="center"/>
    </xf>
    <xf borderId="4" fillId="5" fontId="9" numFmtId="0" xfId="0" applyAlignment="1" applyBorder="1" applyFont="1">
      <alignment horizontal="center" readingOrder="0" vertical="center"/>
    </xf>
    <xf borderId="4" fillId="9" fontId="6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4" fillId="2" fontId="14" numFmtId="0" xfId="0" applyAlignment="1" applyBorder="1" applyFont="1">
      <alignment horizontal="left" vertical="center"/>
    </xf>
    <xf borderId="4" fillId="3" fontId="4" numFmtId="0" xfId="0" applyAlignment="1" applyBorder="1" applyFont="1">
      <alignment horizontal="center" vertical="center"/>
    </xf>
    <xf borderId="4" fillId="10" fontId="15" numFmtId="0" xfId="0" applyAlignment="1" applyBorder="1" applyFill="1" applyFont="1">
      <alignment horizontal="center" readingOrder="0" vertical="center"/>
    </xf>
    <xf borderId="1" fillId="2" fontId="4" numFmtId="0" xfId="0" applyAlignment="1" applyBorder="1" applyFont="1">
      <alignment horizontal="left" vertical="center"/>
    </xf>
    <xf borderId="4" fillId="4" fontId="9" numFmtId="0" xfId="0" applyAlignment="1" applyBorder="1" applyFont="1">
      <alignment horizontal="left" vertical="center"/>
    </xf>
    <xf borderId="4" fillId="10" fontId="16" numFmtId="0" xfId="0" applyAlignment="1" applyBorder="1" applyFont="1">
      <alignment horizontal="center" vertical="center"/>
    </xf>
    <xf borderId="4" fillId="5" fontId="17" numFmtId="0" xfId="0" applyAlignment="1" applyBorder="1" applyFont="1">
      <alignment horizontal="left" vertical="center"/>
    </xf>
    <xf borderId="4" fillId="5" fontId="6" numFmtId="164" xfId="0" applyAlignment="1" applyBorder="1" applyFont="1" applyNumberForma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10" fontId="16" numFmtId="0" xfId="0" applyAlignment="1" applyBorder="1" applyFont="1">
      <alignment horizontal="center" readingOrder="0" vertical="center"/>
    </xf>
    <xf borderId="4" fillId="11" fontId="5" numFmtId="0" xfId="0" applyAlignment="1" applyBorder="1" applyFill="1" applyFont="1">
      <alignment horizontal="left" vertical="center"/>
    </xf>
    <xf borderId="4" fillId="11" fontId="9" numFmtId="0" xfId="0" applyAlignment="1" applyBorder="1" applyFont="1">
      <alignment horizontal="center" vertical="center"/>
    </xf>
    <xf borderId="4" fillId="11" fontId="17" numFmtId="0" xfId="0" applyAlignment="1" applyBorder="1" applyFont="1">
      <alignment horizontal="left" vertical="center"/>
    </xf>
    <xf borderId="4" fillId="11" fontId="18" numFmtId="164" xfId="0" applyAlignment="1" applyBorder="1" applyFont="1" applyNumberFormat="1">
      <alignment horizontal="center" vertical="center"/>
    </xf>
    <xf borderId="4" fillId="7" fontId="8" numFmtId="0" xfId="0" applyAlignment="1" applyBorder="1" applyFont="1">
      <alignment horizontal="left" shrinkToFit="0" vertical="center" wrapText="1"/>
    </xf>
    <xf borderId="1" fillId="2" fontId="19" numFmtId="0" xfId="0" applyAlignment="1" applyBorder="1" applyFont="1">
      <alignment horizontal="left" shrinkToFit="0" vertical="center" wrapText="1"/>
    </xf>
    <xf borderId="1" fillId="9" fontId="20" numFmtId="0" xfId="0" applyAlignment="1" applyBorder="1" applyFont="1">
      <alignment horizontal="left" vertical="center"/>
    </xf>
    <xf borderId="9" fillId="5" fontId="21" numFmtId="0" xfId="0" applyAlignment="1" applyBorder="1" applyFont="1">
      <alignment horizontal="left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4" fillId="4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86"/>
    <col customWidth="1" min="2" max="2" width="48.86"/>
    <col customWidth="1" min="3" max="3" width="18.0"/>
    <col customWidth="1" min="4" max="4" width="23.14"/>
    <col customWidth="1" min="5" max="5" width="15.43"/>
    <col customWidth="1" min="6" max="6" width="39.43"/>
    <col customWidth="1" min="7" max="7" width="28.0"/>
    <col customWidth="1" min="8" max="8" width="12.0"/>
    <col customWidth="1" min="9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3"/>
    </row>
    <row r="3" ht="19.5" customHeight="1">
      <c r="A3" s="5" t="s">
        <v>2</v>
      </c>
      <c r="B3" s="2"/>
      <c r="C3" s="2"/>
      <c r="D3" s="2"/>
      <c r="E3" s="2"/>
      <c r="F3" s="2"/>
      <c r="G3" s="2"/>
      <c r="H3" s="3"/>
    </row>
    <row r="4" ht="18.0" customHeight="1">
      <c r="A4" s="6" t="s">
        <v>3</v>
      </c>
      <c r="B4" s="7"/>
      <c r="C4" s="8"/>
      <c r="D4" s="8"/>
      <c r="E4" s="8"/>
      <c r="F4" s="8"/>
      <c r="G4" s="8"/>
      <c r="H4" s="9"/>
    </row>
    <row r="5" ht="18.0" customHeight="1">
      <c r="A5" s="6" t="s">
        <v>4</v>
      </c>
      <c r="B5" s="7"/>
      <c r="C5" s="8"/>
      <c r="D5" s="8"/>
      <c r="E5" s="8"/>
      <c r="F5" s="8"/>
      <c r="G5" s="8"/>
      <c r="H5" s="9"/>
    </row>
    <row r="6" ht="18.0" customHeight="1">
      <c r="A6" s="6" t="s">
        <v>5</v>
      </c>
      <c r="B6" s="7"/>
      <c r="C6" s="8"/>
      <c r="D6" s="8"/>
      <c r="E6" s="8"/>
      <c r="F6" s="8"/>
      <c r="G6" s="8"/>
      <c r="H6" s="9"/>
    </row>
    <row r="7" ht="18.0" customHeight="1">
      <c r="A7" s="6" t="s">
        <v>6</v>
      </c>
      <c r="B7" s="7"/>
      <c r="C7" s="8"/>
      <c r="D7" s="8"/>
      <c r="E7" s="8"/>
      <c r="F7" s="8"/>
      <c r="G7" s="8"/>
      <c r="H7" s="9"/>
    </row>
    <row r="8" ht="18.0" customHeight="1">
      <c r="A8" s="6" t="s">
        <v>7</v>
      </c>
      <c r="B8" s="7"/>
      <c r="C8" s="8"/>
      <c r="D8" s="8"/>
      <c r="E8" s="8"/>
      <c r="F8" s="8"/>
      <c r="G8" s="8"/>
      <c r="H8" s="9"/>
    </row>
    <row r="9" ht="18.0" customHeight="1">
      <c r="A9" s="6" t="s">
        <v>8</v>
      </c>
      <c r="B9" s="7"/>
      <c r="C9" s="8"/>
      <c r="D9" s="8"/>
      <c r="E9" s="8"/>
      <c r="F9" s="8"/>
      <c r="G9" s="8"/>
      <c r="H9" s="9"/>
    </row>
    <row r="10" ht="18.0" customHeight="1">
      <c r="A10" s="6" t="s">
        <v>9</v>
      </c>
      <c r="B10" s="7"/>
      <c r="C10" s="8"/>
      <c r="D10" s="8"/>
      <c r="E10" s="8"/>
      <c r="F10" s="8"/>
      <c r="G10" s="8"/>
      <c r="H10" s="9"/>
    </row>
    <row r="11" ht="18.0" customHeight="1">
      <c r="A11" s="6" t="s">
        <v>10</v>
      </c>
      <c r="B11" s="7"/>
      <c r="C11" s="8"/>
      <c r="D11" s="8"/>
      <c r="E11" s="8"/>
      <c r="F11" s="8"/>
      <c r="G11" s="8"/>
      <c r="H11" s="9"/>
    </row>
    <row r="12" ht="18.0" customHeight="1">
      <c r="A12" s="6" t="s">
        <v>11</v>
      </c>
      <c r="B12" s="7"/>
      <c r="C12" s="8"/>
      <c r="D12" s="8"/>
      <c r="E12" s="8"/>
      <c r="F12" s="8"/>
      <c r="G12" s="8"/>
      <c r="H12" s="9"/>
    </row>
    <row r="14" ht="19.5" customHeight="1">
      <c r="A14" s="5" t="s">
        <v>12</v>
      </c>
      <c r="B14" s="2"/>
      <c r="C14" s="2"/>
      <c r="D14" s="2"/>
      <c r="E14" s="2"/>
      <c r="F14" s="2"/>
      <c r="G14" s="2"/>
      <c r="H14" s="3"/>
    </row>
    <row r="15" ht="21.75" customHeight="1">
      <c r="A15" s="10" t="s">
        <v>13</v>
      </c>
      <c r="B15" s="10" t="s">
        <v>14</v>
      </c>
      <c r="C15" s="10" t="s">
        <v>15</v>
      </c>
      <c r="D15" s="10" t="s">
        <v>16</v>
      </c>
      <c r="E15" s="10" t="s">
        <v>17</v>
      </c>
    </row>
    <row r="16" ht="18.0" customHeight="1">
      <c r="A16" s="6" t="s">
        <v>18</v>
      </c>
      <c r="B16" s="11"/>
      <c r="C16" s="11"/>
      <c r="D16" s="11"/>
      <c r="E16" s="11"/>
    </row>
    <row r="17" ht="18.0" customHeight="1">
      <c r="A17" s="6" t="s">
        <v>19</v>
      </c>
      <c r="B17" s="11"/>
      <c r="C17" s="11"/>
      <c r="D17" s="11"/>
      <c r="E17" s="11"/>
    </row>
    <row r="18" ht="18.0" customHeight="1">
      <c r="A18" s="6" t="s">
        <v>20</v>
      </c>
      <c r="B18" s="11"/>
      <c r="C18" s="11"/>
      <c r="D18" s="11"/>
      <c r="E18" s="11"/>
    </row>
    <row r="19" ht="18.0" customHeight="1">
      <c r="A19" s="6" t="s">
        <v>21</v>
      </c>
      <c r="B19" s="11"/>
      <c r="C19" s="11"/>
      <c r="D19" s="11"/>
      <c r="E19" s="11"/>
    </row>
    <row r="21" ht="19.5" customHeight="1">
      <c r="A21" s="5" t="s">
        <v>22</v>
      </c>
      <c r="B21" s="2"/>
      <c r="C21" s="2"/>
      <c r="D21" s="2"/>
      <c r="E21" s="2"/>
      <c r="F21" s="2"/>
      <c r="G21" s="2"/>
      <c r="H21" s="3"/>
    </row>
    <row r="22" ht="21.75" customHeight="1">
      <c r="A22" s="10" t="s">
        <v>23</v>
      </c>
      <c r="B22" s="10" t="s">
        <v>24</v>
      </c>
      <c r="C22" s="10" t="s">
        <v>25</v>
      </c>
      <c r="D22" s="10" t="s">
        <v>26</v>
      </c>
      <c r="E22" s="10" t="s">
        <v>27</v>
      </c>
      <c r="F22" s="10" t="s">
        <v>28</v>
      </c>
      <c r="G22" s="10" t="s">
        <v>29</v>
      </c>
      <c r="H22" s="10" t="s">
        <v>30</v>
      </c>
    </row>
    <row r="23" ht="18.0" customHeight="1">
      <c r="A23" s="11" t="s">
        <v>31</v>
      </c>
      <c r="B23" s="11"/>
      <c r="C23" s="11"/>
      <c r="D23" s="11" t="s">
        <v>32</v>
      </c>
      <c r="E23" s="11" t="s">
        <v>33</v>
      </c>
      <c r="F23" s="11" t="s">
        <v>34</v>
      </c>
      <c r="G23" s="11"/>
      <c r="H23" s="11" t="s">
        <v>35</v>
      </c>
    </row>
    <row r="24" ht="18.0" customHeight="1">
      <c r="A24" s="11" t="s">
        <v>36</v>
      </c>
      <c r="B24" s="11"/>
      <c r="C24" s="11"/>
      <c r="D24" s="11" t="s">
        <v>37</v>
      </c>
      <c r="E24" s="11" t="s">
        <v>33</v>
      </c>
      <c r="F24" s="11" t="s">
        <v>38</v>
      </c>
      <c r="G24" s="11"/>
      <c r="H24" s="11" t="s">
        <v>35</v>
      </c>
    </row>
    <row r="25" ht="18.0" customHeight="1">
      <c r="A25" s="12" t="s">
        <v>39</v>
      </c>
      <c r="B25" s="12"/>
      <c r="C25" s="12"/>
      <c r="D25" s="12" t="s">
        <v>40</v>
      </c>
      <c r="E25" s="12" t="s">
        <v>41</v>
      </c>
      <c r="F25" s="12" t="s">
        <v>42</v>
      </c>
      <c r="G25" s="12"/>
      <c r="H25" s="12" t="s">
        <v>43</v>
      </c>
    </row>
    <row r="26" ht="18.0" customHeight="1">
      <c r="A26" s="11" t="s">
        <v>44</v>
      </c>
      <c r="B26" s="11"/>
      <c r="C26" s="11"/>
      <c r="D26" s="11" t="s">
        <v>45</v>
      </c>
      <c r="E26" s="11" t="s">
        <v>33</v>
      </c>
      <c r="F26" s="11" t="s">
        <v>46</v>
      </c>
      <c r="G26" s="11"/>
      <c r="H26" s="11" t="s">
        <v>35</v>
      </c>
    </row>
    <row r="27" ht="18.0" customHeight="1">
      <c r="A27" s="11" t="s">
        <v>47</v>
      </c>
      <c r="B27" s="11"/>
      <c r="C27" s="11"/>
      <c r="D27" s="11" t="s">
        <v>40</v>
      </c>
      <c r="E27" s="11" t="s">
        <v>33</v>
      </c>
      <c r="F27" s="11" t="s">
        <v>48</v>
      </c>
      <c r="G27" s="11"/>
      <c r="H27" s="11" t="s">
        <v>35</v>
      </c>
    </row>
    <row r="28" ht="18.0" customHeight="1">
      <c r="A28" s="13" t="s">
        <v>49</v>
      </c>
      <c r="B28" s="13"/>
      <c r="C28" s="13"/>
      <c r="D28" s="13" t="s">
        <v>50</v>
      </c>
      <c r="E28" s="13" t="s">
        <v>33</v>
      </c>
      <c r="F28" s="13" t="s">
        <v>51</v>
      </c>
      <c r="G28" s="13"/>
      <c r="H28" s="14" t="s">
        <v>52</v>
      </c>
    </row>
    <row r="29" ht="15.75" customHeight="1"/>
    <row r="30" ht="19.5" customHeight="1">
      <c r="A30" s="5" t="s">
        <v>53</v>
      </c>
      <c r="B30" s="2"/>
      <c r="C30" s="2"/>
      <c r="D30" s="2"/>
      <c r="E30" s="2"/>
      <c r="F30" s="2"/>
      <c r="G30" s="2"/>
      <c r="H30" s="3"/>
    </row>
    <row r="31" ht="21.75" customHeight="1">
      <c r="A31" s="10" t="s">
        <v>54</v>
      </c>
      <c r="B31" s="10" t="s">
        <v>55</v>
      </c>
      <c r="C31" s="10" t="s">
        <v>56</v>
      </c>
      <c r="D31" s="10" t="s">
        <v>57</v>
      </c>
      <c r="E31" s="10" t="s">
        <v>58</v>
      </c>
    </row>
    <row r="32" ht="27.0" customHeight="1">
      <c r="A32" s="15" t="s">
        <v>59</v>
      </c>
      <c r="B32" s="16" t="s">
        <v>60</v>
      </c>
      <c r="C32" s="17" t="s">
        <v>61</v>
      </c>
      <c r="D32" s="17" t="s">
        <v>62</v>
      </c>
      <c r="E32" s="18" t="s">
        <v>63</v>
      </c>
    </row>
    <row r="33" ht="18.0" customHeight="1">
      <c r="A33" s="15" t="s">
        <v>64</v>
      </c>
      <c r="B33" s="16" t="s">
        <v>65</v>
      </c>
      <c r="C33" s="17" t="s">
        <v>61</v>
      </c>
      <c r="D33" s="17" t="s">
        <v>66</v>
      </c>
      <c r="E33" s="18" t="s">
        <v>63</v>
      </c>
    </row>
    <row r="34" ht="18.0" customHeight="1">
      <c r="A34" s="15" t="s">
        <v>67</v>
      </c>
      <c r="B34" s="16" t="s">
        <v>68</v>
      </c>
      <c r="C34" s="17" t="s">
        <v>61</v>
      </c>
      <c r="D34" s="17" t="s">
        <v>69</v>
      </c>
      <c r="E34" s="18" t="s">
        <v>63</v>
      </c>
    </row>
    <row r="35" ht="18.0" customHeight="1">
      <c r="A35" s="15" t="s">
        <v>70</v>
      </c>
      <c r="B35" s="16" t="s">
        <v>71</v>
      </c>
      <c r="C35" s="17" t="s">
        <v>61</v>
      </c>
      <c r="D35" s="17" t="s">
        <v>72</v>
      </c>
      <c r="E35" s="18" t="s">
        <v>63</v>
      </c>
    </row>
    <row r="36" ht="18.0" customHeight="1">
      <c r="A36" s="15" t="s">
        <v>73</v>
      </c>
      <c r="B36" s="16" t="s">
        <v>74</v>
      </c>
      <c r="C36" s="17" t="s">
        <v>75</v>
      </c>
      <c r="D36" s="17" t="s">
        <v>76</v>
      </c>
      <c r="E36" s="18" t="s">
        <v>63</v>
      </c>
    </row>
    <row r="37" ht="18.0" customHeight="1">
      <c r="A37" s="15" t="s">
        <v>77</v>
      </c>
      <c r="B37" s="16" t="s">
        <v>78</v>
      </c>
      <c r="C37" s="17" t="s">
        <v>75</v>
      </c>
      <c r="D37" s="17" t="s">
        <v>76</v>
      </c>
      <c r="E37" s="18" t="s">
        <v>63</v>
      </c>
    </row>
    <row r="38" ht="26.25" customHeight="1">
      <c r="A38" s="15" t="s">
        <v>79</v>
      </c>
      <c r="B38" s="16" t="s">
        <v>80</v>
      </c>
      <c r="C38" s="17" t="s">
        <v>75</v>
      </c>
      <c r="D38" s="17" t="s">
        <v>76</v>
      </c>
      <c r="E38" s="18" t="s">
        <v>63</v>
      </c>
    </row>
    <row r="39" ht="18.0" customHeight="1">
      <c r="A39" s="15" t="s">
        <v>81</v>
      </c>
      <c r="B39" s="16" t="s">
        <v>82</v>
      </c>
      <c r="C39" s="17" t="s">
        <v>61</v>
      </c>
      <c r="D39" s="17" t="s">
        <v>76</v>
      </c>
      <c r="E39" s="18" t="s">
        <v>63</v>
      </c>
    </row>
    <row r="40" ht="18.0" customHeight="1">
      <c r="A40" s="15" t="s">
        <v>83</v>
      </c>
      <c r="B40" s="16" t="s">
        <v>84</v>
      </c>
      <c r="C40" s="17" t="s">
        <v>61</v>
      </c>
      <c r="D40" s="17" t="s">
        <v>72</v>
      </c>
      <c r="E40" s="18" t="s">
        <v>63</v>
      </c>
    </row>
    <row r="41" ht="18.0" customHeight="1">
      <c r="A41" s="15" t="s">
        <v>85</v>
      </c>
      <c r="B41" s="16" t="s">
        <v>86</v>
      </c>
      <c r="C41" s="17" t="s">
        <v>61</v>
      </c>
      <c r="D41" s="17" t="s">
        <v>66</v>
      </c>
      <c r="E41" s="18" t="s">
        <v>63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8:H8"/>
    <mergeCell ref="B9:H9"/>
    <mergeCell ref="B10:H10"/>
    <mergeCell ref="B11:H11"/>
    <mergeCell ref="B12:H12"/>
    <mergeCell ref="A14:H14"/>
    <mergeCell ref="A21:H21"/>
    <mergeCell ref="A30:H30"/>
    <mergeCell ref="A1:H1"/>
    <mergeCell ref="A2:H2"/>
    <mergeCell ref="A3:H3"/>
    <mergeCell ref="B4:H4"/>
    <mergeCell ref="B5:H5"/>
    <mergeCell ref="B6:H6"/>
    <mergeCell ref="B7:H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43"/>
    <col customWidth="1" min="2" max="2" width="46.43"/>
    <col customWidth="1" min="3" max="3" width="33.86"/>
    <col customWidth="1" min="4" max="4" width="56.43"/>
    <col customWidth="1" min="5" max="5" width="25.0"/>
    <col customWidth="1" min="6" max="6" width="18.0"/>
    <col customWidth="1" min="7" max="7" width="14.0"/>
    <col customWidth="1" min="8" max="8" width="16.0"/>
    <col customWidth="1" min="9" max="26" width="8.71"/>
  </cols>
  <sheetData>
    <row r="1" ht="31.5" customHeight="1">
      <c r="A1" s="1" t="s">
        <v>87</v>
      </c>
      <c r="B1" s="2"/>
      <c r="C1" s="2"/>
      <c r="D1" s="2"/>
      <c r="E1" s="2"/>
      <c r="F1" s="2"/>
      <c r="G1" s="2"/>
      <c r="H1" s="3"/>
    </row>
    <row r="2" ht="19.5" customHeight="1">
      <c r="A2" s="4" t="s">
        <v>88</v>
      </c>
      <c r="B2" s="2"/>
      <c r="C2" s="2"/>
      <c r="D2" s="2"/>
      <c r="E2" s="2"/>
      <c r="F2" s="2"/>
      <c r="G2" s="2"/>
      <c r="H2" s="3"/>
    </row>
    <row r="3" ht="19.5" customHeight="1">
      <c r="A3" s="5" t="s">
        <v>89</v>
      </c>
      <c r="B3" s="2"/>
      <c r="C3" s="2"/>
      <c r="D3" s="2"/>
      <c r="E3" s="2"/>
      <c r="F3" s="2"/>
      <c r="G3" s="2"/>
      <c r="H3" s="3"/>
    </row>
    <row r="4" ht="18.0" customHeight="1">
      <c r="A4" s="19" t="s">
        <v>90</v>
      </c>
      <c r="B4" s="2"/>
      <c r="C4" s="2"/>
      <c r="D4" s="2"/>
      <c r="E4" s="2"/>
      <c r="F4" s="2"/>
      <c r="G4" s="2"/>
      <c r="H4" s="3"/>
    </row>
    <row r="5" ht="21.75" customHeight="1">
      <c r="A5" s="10" t="s">
        <v>54</v>
      </c>
      <c r="B5" s="10" t="s">
        <v>91</v>
      </c>
      <c r="C5" s="10" t="s">
        <v>92</v>
      </c>
      <c r="D5" s="10" t="s">
        <v>93</v>
      </c>
    </row>
    <row r="6" ht="27.75" customHeight="1">
      <c r="A6" s="15">
        <v>1.0</v>
      </c>
      <c r="B6" s="16" t="s">
        <v>94</v>
      </c>
      <c r="C6" s="20"/>
      <c r="D6" s="21"/>
    </row>
    <row r="7" ht="27.75" customHeight="1">
      <c r="A7" s="15">
        <v>2.0</v>
      </c>
      <c r="B7" s="16" t="s">
        <v>95</v>
      </c>
      <c r="C7" s="20"/>
      <c r="D7" s="21"/>
    </row>
    <row r="8" ht="27.75" customHeight="1">
      <c r="A8" s="15">
        <v>3.0</v>
      </c>
      <c r="B8" s="16" t="s">
        <v>96</v>
      </c>
      <c r="C8" s="20"/>
      <c r="D8" s="21"/>
    </row>
    <row r="9" ht="27.75" customHeight="1">
      <c r="A9" s="15">
        <v>4.0</v>
      </c>
      <c r="B9" s="16" t="s">
        <v>97</v>
      </c>
      <c r="C9" s="20"/>
      <c r="D9" s="21"/>
    </row>
    <row r="10" ht="27.75" customHeight="1">
      <c r="A10" s="15">
        <v>5.0</v>
      </c>
      <c r="B10" s="16" t="s">
        <v>98</v>
      </c>
      <c r="C10" s="20"/>
      <c r="D10" s="21"/>
    </row>
    <row r="11" ht="27.75" customHeight="1">
      <c r="A11" s="15">
        <v>6.0</v>
      </c>
      <c r="B11" s="16" t="s">
        <v>99</v>
      </c>
      <c r="C11" s="20"/>
      <c r="D11" s="21"/>
    </row>
    <row r="12" ht="27.75" customHeight="1">
      <c r="A12" s="15">
        <v>7.0</v>
      </c>
      <c r="B12" s="16" t="s">
        <v>100</v>
      </c>
      <c r="C12" s="20"/>
      <c r="D12" s="21"/>
    </row>
    <row r="13" ht="27.75" customHeight="1">
      <c r="A13" s="15">
        <v>8.0</v>
      </c>
      <c r="B13" s="16" t="s">
        <v>101</v>
      </c>
      <c r="C13" s="20"/>
      <c r="D13" s="21"/>
    </row>
    <row r="15" ht="19.5" customHeight="1">
      <c r="A15" s="5" t="s">
        <v>102</v>
      </c>
      <c r="B15" s="2"/>
      <c r="C15" s="2"/>
      <c r="D15" s="2"/>
      <c r="E15" s="2"/>
      <c r="F15" s="2"/>
      <c r="G15" s="2"/>
      <c r="H15" s="3"/>
    </row>
    <row r="16" ht="21.75" customHeight="1">
      <c r="A16" s="10" t="s">
        <v>54</v>
      </c>
      <c r="B16" s="10" t="s">
        <v>103</v>
      </c>
      <c r="C16" s="10" t="s">
        <v>92</v>
      </c>
      <c r="D16" s="10" t="s">
        <v>104</v>
      </c>
      <c r="E16" s="10" t="s">
        <v>105</v>
      </c>
    </row>
    <row r="17" ht="27.75" customHeight="1">
      <c r="A17" s="15">
        <v>1.0</v>
      </c>
      <c r="B17" s="16" t="s">
        <v>106</v>
      </c>
      <c r="C17" s="20"/>
      <c r="D17" s="21"/>
      <c r="E17" s="21"/>
    </row>
    <row r="18" ht="27.75" customHeight="1">
      <c r="A18" s="15">
        <v>2.0</v>
      </c>
      <c r="B18" s="16" t="s">
        <v>107</v>
      </c>
      <c r="C18" s="20"/>
      <c r="D18" s="21"/>
      <c r="E18" s="21"/>
    </row>
    <row r="19" ht="27.75" customHeight="1">
      <c r="A19" s="15">
        <v>3.0</v>
      </c>
      <c r="B19" s="16" t="s">
        <v>108</v>
      </c>
      <c r="C19" s="20"/>
      <c r="D19" s="21"/>
      <c r="E19" s="21"/>
    </row>
    <row r="20" ht="27.75" customHeight="1">
      <c r="A20" s="15">
        <v>4.0</v>
      </c>
      <c r="B20" s="16" t="s">
        <v>109</v>
      </c>
      <c r="C20" s="20"/>
      <c r="D20" s="21"/>
      <c r="E20" s="21"/>
    </row>
    <row r="21" ht="27.75" customHeight="1">
      <c r="A21" s="15">
        <v>5.0</v>
      </c>
      <c r="B21" s="16" t="s">
        <v>110</v>
      </c>
      <c r="C21" s="20"/>
      <c r="D21" s="21"/>
      <c r="E21" s="21"/>
    </row>
    <row r="22" ht="27.75" customHeight="1">
      <c r="A22" s="15">
        <v>6.0</v>
      </c>
      <c r="B22" s="16" t="s">
        <v>111</v>
      </c>
      <c r="C22" s="20"/>
      <c r="D22" s="21"/>
      <c r="E22" s="21"/>
    </row>
    <row r="23" ht="27.75" customHeight="1">
      <c r="A23" s="15">
        <v>7.0</v>
      </c>
      <c r="B23" s="16" t="s">
        <v>112</v>
      </c>
      <c r="C23" s="20"/>
      <c r="D23" s="21"/>
      <c r="E23" s="21"/>
    </row>
    <row r="24" ht="27.75" customHeight="1">
      <c r="A24" s="15">
        <v>8.0</v>
      </c>
      <c r="B24" s="16" t="s">
        <v>113</v>
      </c>
      <c r="C24" s="20"/>
      <c r="D24" s="21"/>
      <c r="E24" s="21"/>
    </row>
    <row r="25" ht="27.75" customHeight="1">
      <c r="A25" s="15">
        <v>9.0</v>
      </c>
      <c r="B25" s="16" t="s">
        <v>114</v>
      </c>
      <c r="C25" s="20"/>
      <c r="D25" s="21"/>
      <c r="E25" s="21"/>
    </row>
    <row r="26" ht="27.75" customHeight="1">
      <c r="A26" s="15">
        <v>10.0</v>
      </c>
      <c r="B26" s="16" t="s">
        <v>115</v>
      </c>
      <c r="C26" s="20"/>
      <c r="D26" s="21"/>
      <c r="E26" s="21"/>
    </row>
    <row r="27" ht="15.75" customHeight="1"/>
    <row r="28" ht="19.5" customHeight="1">
      <c r="A28" s="5" t="s">
        <v>116</v>
      </c>
      <c r="B28" s="2"/>
      <c r="C28" s="2"/>
      <c r="D28" s="2"/>
      <c r="E28" s="2"/>
      <c r="F28" s="2"/>
      <c r="G28" s="2"/>
      <c r="H28" s="3"/>
    </row>
    <row r="29" ht="21.75" customHeight="1">
      <c r="A29" s="10" t="s">
        <v>54</v>
      </c>
      <c r="B29" s="10" t="s">
        <v>117</v>
      </c>
      <c r="C29" s="10" t="s">
        <v>118</v>
      </c>
      <c r="D29" s="10" t="s">
        <v>119</v>
      </c>
      <c r="E29" s="10" t="s">
        <v>120</v>
      </c>
      <c r="F29" s="10" t="s">
        <v>56</v>
      </c>
      <c r="G29" s="10" t="s">
        <v>121</v>
      </c>
      <c r="H29" s="10" t="s">
        <v>122</v>
      </c>
    </row>
    <row r="30" ht="21.75" customHeight="1">
      <c r="A30" s="15">
        <v>1.0</v>
      </c>
      <c r="B30" s="20"/>
      <c r="C30" s="20"/>
      <c r="D30" s="20"/>
      <c r="E30" s="20"/>
      <c r="F30" s="20"/>
      <c r="G30" s="20"/>
      <c r="H30" s="20"/>
    </row>
    <row r="31" ht="21.75" customHeight="1">
      <c r="A31" s="15">
        <v>2.0</v>
      </c>
      <c r="B31" s="20"/>
      <c r="C31" s="20"/>
      <c r="D31" s="20"/>
      <c r="E31" s="20"/>
      <c r="F31" s="20"/>
      <c r="G31" s="20"/>
      <c r="H31" s="20"/>
    </row>
    <row r="32" ht="21.75" customHeight="1">
      <c r="A32" s="15">
        <v>3.0</v>
      </c>
      <c r="B32" s="20"/>
      <c r="C32" s="20"/>
      <c r="D32" s="20"/>
      <c r="E32" s="20"/>
      <c r="F32" s="20"/>
      <c r="G32" s="20"/>
      <c r="H32" s="20"/>
    </row>
    <row r="33" ht="21.75" customHeight="1">
      <c r="A33" s="15">
        <v>4.0</v>
      </c>
      <c r="B33" s="20"/>
      <c r="C33" s="20"/>
      <c r="D33" s="20"/>
      <c r="E33" s="20"/>
      <c r="F33" s="20"/>
      <c r="G33" s="20"/>
      <c r="H33" s="20"/>
    </row>
    <row r="34" ht="21.75" customHeight="1">
      <c r="A34" s="15">
        <v>5.0</v>
      </c>
      <c r="B34" s="20"/>
      <c r="C34" s="20"/>
      <c r="D34" s="20"/>
      <c r="E34" s="20"/>
      <c r="F34" s="20"/>
      <c r="G34" s="20"/>
      <c r="H34" s="20"/>
    </row>
    <row r="35" ht="21.75" customHeight="1">
      <c r="A35" s="15">
        <v>6.0</v>
      </c>
      <c r="B35" s="20"/>
      <c r="C35" s="20"/>
      <c r="D35" s="20"/>
      <c r="E35" s="20"/>
      <c r="F35" s="20"/>
      <c r="G35" s="20"/>
      <c r="H35" s="20"/>
    </row>
    <row r="36" ht="21.75" customHeight="1">
      <c r="A36" s="15">
        <v>7.0</v>
      </c>
      <c r="B36" s="20"/>
      <c r="C36" s="20"/>
      <c r="D36" s="20"/>
      <c r="E36" s="20"/>
      <c r="F36" s="20"/>
      <c r="G36" s="20"/>
      <c r="H36" s="20"/>
    </row>
    <row r="37" ht="21.75" customHeight="1">
      <c r="A37" s="15">
        <v>8.0</v>
      </c>
      <c r="B37" s="20"/>
      <c r="C37" s="20"/>
      <c r="D37" s="20"/>
      <c r="E37" s="20"/>
      <c r="F37" s="20"/>
      <c r="G37" s="20"/>
      <c r="H37" s="20"/>
    </row>
    <row r="38" ht="21.75" customHeight="1">
      <c r="A38" s="15">
        <v>9.0</v>
      </c>
      <c r="B38" s="20"/>
      <c r="C38" s="20"/>
      <c r="D38" s="20"/>
      <c r="E38" s="20"/>
      <c r="F38" s="20"/>
      <c r="G38" s="20"/>
      <c r="H38" s="20"/>
    </row>
    <row r="39" ht="21.75" customHeight="1">
      <c r="A39" s="15">
        <v>10.0</v>
      </c>
      <c r="B39" s="20"/>
      <c r="C39" s="20"/>
      <c r="D39" s="20"/>
      <c r="E39" s="20"/>
      <c r="F39" s="20"/>
      <c r="G39" s="20"/>
      <c r="H39" s="20"/>
    </row>
    <row r="40" ht="21.75" customHeight="1">
      <c r="A40" s="15">
        <v>11.0</v>
      </c>
      <c r="B40" s="20"/>
      <c r="C40" s="20"/>
      <c r="D40" s="20"/>
      <c r="E40" s="20"/>
      <c r="F40" s="20"/>
      <c r="G40" s="20"/>
      <c r="H40" s="20"/>
    </row>
    <row r="41" ht="21.75" customHeight="1">
      <c r="A41" s="15">
        <v>12.0</v>
      </c>
      <c r="B41" s="20"/>
      <c r="C41" s="20"/>
      <c r="D41" s="20"/>
      <c r="E41" s="20"/>
      <c r="F41" s="20"/>
      <c r="G41" s="20"/>
      <c r="H41" s="20"/>
    </row>
    <row r="42" ht="21.75" customHeight="1">
      <c r="A42" s="15">
        <v>13.0</v>
      </c>
      <c r="B42" s="20"/>
      <c r="C42" s="20"/>
      <c r="D42" s="20"/>
      <c r="E42" s="20"/>
      <c r="F42" s="20"/>
      <c r="G42" s="20"/>
      <c r="H42" s="20"/>
    </row>
    <row r="43" ht="21.75" customHeight="1">
      <c r="A43" s="15">
        <v>14.0</v>
      </c>
      <c r="B43" s="20"/>
      <c r="C43" s="20"/>
      <c r="D43" s="20"/>
      <c r="E43" s="20"/>
      <c r="F43" s="20"/>
      <c r="G43" s="20"/>
      <c r="H43" s="20"/>
    </row>
    <row r="44" ht="21.75" customHeight="1">
      <c r="A44" s="15">
        <v>15.0</v>
      </c>
      <c r="B44" s="20"/>
      <c r="C44" s="20"/>
      <c r="D44" s="20"/>
      <c r="E44" s="20"/>
      <c r="F44" s="20"/>
      <c r="G44" s="20"/>
      <c r="H44" s="20"/>
    </row>
    <row r="45" ht="15.75" customHeight="1"/>
    <row r="46" ht="19.5" customHeight="1">
      <c r="A46" s="5" t="s">
        <v>123</v>
      </c>
      <c r="B46" s="2"/>
      <c r="C46" s="2"/>
      <c r="D46" s="2"/>
      <c r="E46" s="2"/>
      <c r="F46" s="2"/>
      <c r="G46" s="2"/>
      <c r="H46" s="3"/>
    </row>
    <row r="47">
      <c r="A47" s="22" t="s">
        <v>124</v>
      </c>
      <c r="B47" s="7"/>
      <c r="C47" s="8"/>
      <c r="D47" s="8"/>
      <c r="E47" s="8"/>
      <c r="F47" s="8"/>
      <c r="G47" s="8"/>
      <c r="H47" s="9"/>
    </row>
    <row r="48">
      <c r="A48" s="22" t="s">
        <v>125</v>
      </c>
      <c r="B48" s="7"/>
      <c r="C48" s="8"/>
      <c r="D48" s="8"/>
      <c r="E48" s="8"/>
      <c r="F48" s="8"/>
      <c r="G48" s="8"/>
      <c r="H48" s="9"/>
    </row>
    <row r="49">
      <c r="A49" s="22" t="s">
        <v>126</v>
      </c>
      <c r="B49" s="7"/>
      <c r="C49" s="8"/>
      <c r="D49" s="8"/>
      <c r="E49" s="8"/>
      <c r="F49" s="8"/>
      <c r="G49" s="8"/>
      <c r="H49" s="9"/>
    </row>
    <row r="50">
      <c r="A50" s="22" t="s">
        <v>127</v>
      </c>
      <c r="B50" s="7"/>
      <c r="C50" s="8"/>
      <c r="D50" s="8"/>
      <c r="E50" s="8"/>
      <c r="F50" s="8"/>
      <c r="G50" s="8"/>
      <c r="H50" s="9"/>
    </row>
    <row r="51">
      <c r="A51" s="22" t="s">
        <v>128</v>
      </c>
      <c r="B51" s="7"/>
      <c r="C51" s="8"/>
      <c r="D51" s="8"/>
      <c r="E51" s="8"/>
      <c r="F51" s="8"/>
      <c r="G51" s="8"/>
      <c r="H51" s="9"/>
    </row>
    <row r="52" ht="27.75" customHeight="1">
      <c r="A52" s="22" t="s">
        <v>129</v>
      </c>
      <c r="B52" s="7"/>
      <c r="C52" s="8"/>
      <c r="D52" s="8"/>
      <c r="E52" s="8"/>
      <c r="F52" s="8"/>
      <c r="G52" s="8"/>
      <c r="H52" s="9"/>
    </row>
    <row r="53" ht="27.75" customHeight="1">
      <c r="A53" s="22" t="s">
        <v>130</v>
      </c>
      <c r="B53" s="7"/>
      <c r="C53" s="8"/>
      <c r="D53" s="8"/>
      <c r="E53" s="8"/>
      <c r="F53" s="8"/>
      <c r="G53" s="8"/>
      <c r="H53" s="9"/>
    </row>
    <row r="54" ht="27.75" customHeight="1">
      <c r="A54" s="22" t="s">
        <v>131</v>
      </c>
      <c r="B54" s="7"/>
      <c r="C54" s="8"/>
      <c r="D54" s="8"/>
      <c r="E54" s="8"/>
      <c r="F54" s="8"/>
      <c r="G54" s="8"/>
      <c r="H54" s="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47:H47"/>
    <mergeCell ref="B48:H48"/>
    <mergeCell ref="B49:H49"/>
    <mergeCell ref="B50:H50"/>
    <mergeCell ref="B51:H51"/>
    <mergeCell ref="B52:H52"/>
    <mergeCell ref="B53:H53"/>
    <mergeCell ref="B54:H54"/>
    <mergeCell ref="A1:H1"/>
    <mergeCell ref="A2:H2"/>
    <mergeCell ref="A3:H3"/>
    <mergeCell ref="A4:H4"/>
    <mergeCell ref="A15:H15"/>
    <mergeCell ref="A28:H28"/>
    <mergeCell ref="A46:H4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22.0"/>
    <col customWidth="1" min="3" max="3" width="20.0"/>
    <col customWidth="1" min="4" max="4" width="14.0"/>
    <col customWidth="1" min="5" max="5" width="12.0"/>
    <col customWidth="1" min="6" max="6" width="35.0"/>
    <col customWidth="1" min="7" max="7" width="10.0"/>
    <col customWidth="1" min="8" max="8" width="14.0"/>
    <col customWidth="1" min="9" max="9" width="12.0"/>
    <col customWidth="1" min="10" max="10" width="30.0"/>
    <col customWidth="1" min="11" max="26" width="8.71"/>
  </cols>
  <sheetData>
    <row r="1" ht="31.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133</v>
      </c>
      <c r="B2" s="2"/>
      <c r="C2" s="2"/>
      <c r="D2" s="2"/>
      <c r="E2" s="2"/>
      <c r="F2" s="2"/>
      <c r="G2" s="2"/>
      <c r="H2" s="2"/>
      <c r="I2" s="2"/>
      <c r="J2" s="3"/>
    </row>
    <row r="3" ht="30.0" customHeight="1">
      <c r="A3" s="23" t="s">
        <v>134</v>
      </c>
      <c r="B3" s="2"/>
      <c r="C3" s="2"/>
      <c r="D3" s="2"/>
      <c r="E3" s="2"/>
      <c r="F3" s="2"/>
      <c r="G3" s="2"/>
      <c r="H3" s="2"/>
      <c r="I3" s="2"/>
      <c r="J3" s="3"/>
    </row>
    <row r="4" ht="18.0" customHeight="1">
      <c r="A4" s="19" t="s">
        <v>135</v>
      </c>
      <c r="B4" s="2"/>
      <c r="C4" s="2"/>
      <c r="D4" s="2"/>
      <c r="E4" s="2"/>
      <c r="F4" s="2"/>
      <c r="G4" s="2"/>
      <c r="H4" s="2"/>
      <c r="I4" s="2"/>
      <c r="J4" s="3"/>
    </row>
    <row r="5" ht="45.0" customHeight="1">
      <c r="A5" s="10" t="s">
        <v>54</v>
      </c>
      <c r="B5" s="10" t="s">
        <v>117</v>
      </c>
      <c r="C5" s="10" t="s">
        <v>118</v>
      </c>
      <c r="D5" s="10" t="s">
        <v>136</v>
      </c>
      <c r="E5" s="10" t="s">
        <v>137</v>
      </c>
      <c r="F5" s="10" t="s">
        <v>138</v>
      </c>
      <c r="G5" s="10" t="s">
        <v>139</v>
      </c>
      <c r="H5" s="10" t="s">
        <v>140</v>
      </c>
      <c r="I5" s="10" t="s">
        <v>141</v>
      </c>
      <c r="J5" s="10" t="s">
        <v>142</v>
      </c>
    </row>
    <row r="6" ht="21.75" customHeight="1">
      <c r="A6" s="15">
        <v>1.0</v>
      </c>
      <c r="B6" s="24" t="s">
        <v>143</v>
      </c>
      <c r="C6" s="17"/>
      <c r="D6" s="25">
        <v>2.0</v>
      </c>
      <c r="E6" s="25">
        <v>1.0</v>
      </c>
      <c r="F6" s="25">
        <v>3.0</v>
      </c>
      <c r="G6" s="25">
        <v>1.0</v>
      </c>
      <c r="H6" s="26">
        <f t="shared" ref="H6:H20" si="1">IF(AND(D6&lt;&gt;"",E6&lt;&gt;"",F6&lt;&gt;"",G6&lt;&gt;""),(D6*1)+(E6*1.5)+(F6*2)+(G6*1.5),"")</f>
        <v>11</v>
      </c>
      <c r="I6" s="26">
        <f t="shared" ref="I6:I21" si="2">IF(H6&lt;&gt;"",ROUND((H6/30)*100,0),"")</f>
        <v>37</v>
      </c>
      <c r="J6" s="20"/>
    </row>
    <row r="7" ht="21.75" customHeight="1">
      <c r="A7" s="15">
        <v>2.0</v>
      </c>
      <c r="B7" s="17"/>
      <c r="C7" s="17"/>
      <c r="D7" s="21"/>
      <c r="E7" s="21"/>
      <c r="F7" s="21"/>
      <c r="G7" s="21"/>
      <c r="H7" s="26" t="str">
        <f t="shared" si="1"/>
        <v/>
      </c>
      <c r="I7" s="26" t="str">
        <f t="shared" si="2"/>
        <v/>
      </c>
      <c r="J7" s="20"/>
    </row>
    <row r="8" ht="21.75" customHeight="1">
      <c r="A8" s="15">
        <v>3.0</v>
      </c>
      <c r="B8" s="17"/>
      <c r="C8" s="17"/>
      <c r="D8" s="21"/>
      <c r="E8" s="21"/>
      <c r="F8" s="21"/>
      <c r="G8" s="21"/>
      <c r="H8" s="26" t="str">
        <f t="shared" si="1"/>
        <v/>
      </c>
      <c r="I8" s="26" t="str">
        <f t="shared" si="2"/>
        <v/>
      </c>
      <c r="J8" s="20"/>
    </row>
    <row r="9" ht="21.75" customHeight="1">
      <c r="A9" s="15">
        <v>4.0</v>
      </c>
      <c r="B9" s="17"/>
      <c r="C9" s="17"/>
      <c r="D9" s="21"/>
      <c r="E9" s="21"/>
      <c r="F9" s="21"/>
      <c r="G9" s="21"/>
      <c r="H9" s="26" t="str">
        <f t="shared" si="1"/>
        <v/>
      </c>
      <c r="I9" s="26" t="str">
        <f t="shared" si="2"/>
        <v/>
      </c>
      <c r="J9" s="20"/>
    </row>
    <row r="10" ht="21.75" customHeight="1">
      <c r="A10" s="15">
        <v>5.0</v>
      </c>
      <c r="B10" s="17"/>
      <c r="C10" s="17"/>
      <c r="D10" s="21"/>
      <c r="E10" s="21"/>
      <c r="F10" s="21"/>
      <c r="G10" s="21"/>
      <c r="H10" s="26" t="str">
        <f t="shared" si="1"/>
        <v/>
      </c>
      <c r="I10" s="26" t="str">
        <f t="shared" si="2"/>
        <v/>
      </c>
      <c r="J10" s="20"/>
    </row>
    <row r="11" ht="21.75" customHeight="1">
      <c r="A11" s="15">
        <v>6.0</v>
      </c>
      <c r="B11" s="17"/>
      <c r="C11" s="17"/>
      <c r="D11" s="21"/>
      <c r="E11" s="21"/>
      <c r="F11" s="21"/>
      <c r="G11" s="21"/>
      <c r="H11" s="26" t="str">
        <f t="shared" si="1"/>
        <v/>
      </c>
      <c r="I11" s="26" t="str">
        <f t="shared" si="2"/>
        <v/>
      </c>
      <c r="J11" s="20"/>
    </row>
    <row r="12" ht="21.75" customHeight="1">
      <c r="A12" s="15">
        <v>7.0</v>
      </c>
      <c r="B12" s="17"/>
      <c r="C12" s="17"/>
      <c r="D12" s="21"/>
      <c r="E12" s="21"/>
      <c r="F12" s="21"/>
      <c r="G12" s="21"/>
      <c r="H12" s="26" t="str">
        <f t="shared" si="1"/>
        <v/>
      </c>
      <c r="I12" s="26" t="str">
        <f t="shared" si="2"/>
        <v/>
      </c>
      <c r="J12" s="20"/>
    </row>
    <row r="13" ht="21.75" customHeight="1">
      <c r="A13" s="15">
        <v>8.0</v>
      </c>
      <c r="B13" s="17"/>
      <c r="C13" s="17"/>
      <c r="D13" s="21"/>
      <c r="E13" s="21"/>
      <c r="F13" s="21"/>
      <c r="G13" s="21"/>
      <c r="H13" s="26" t="str">
        <f t="shared" si="1"/>
        <v/>
      </c>
      <c r="I13" s="26" t="str">
        <f t="shared" si="2"/>
        <v/>
      </c>
      <c r="J13" s="20"/>
    </row>
    <row r="14" ht="21.75" customHeight="1">
      <c r="A14" s="15">
        <v>9.0</v>
      </c>
      <c r="B14" s="17"/>
      <c r="C14" s="17"/>
      <c r="D14" s="21"/>
      <c r="E14" s="21"/>
      <c r="F14" s="21"/>
      <c r="G14" s="21"/>
      <c r="H14" s="26" t="str">
        <f t="shared" si="1"/>
        <v/>
      </c>
      <c r="I14" s="26" t="str">
        <f t="shared" si="2"/>
        <v/>
      </c>
      <c r="J14" s="20"/>
    </row>
    <row r="15" ht="21.75" customHeight="1">
      <c r="A15" s="15">
        <v>10.0</v>
      </c>
      <c r="B15" s="17"/>
      <c r="C15" s="17"/>
      <c r="D15" s="21"/>
      <c r="E15" s="21"/>
      <c r="F15" s="21"/>
      <c r="G15" s="21"/>
      <c r="H15" s="26" t="str">
        <f t="shared" si="1"/>
        <v/>
      </c>
      <c r="I15" s="26" t="str">
        <f t="shared" si="2"/>
        <v/>
      </c>
      <c r="J15" s="20"/>
    </row>
    <row r="16" ht="21.75" customHeight="1">
      <c r="A16" s="15">
        <v>11.0</v>
      </c>
      <c r="B16" s="17"/>
      <c r="C16" s="17"/>
      <c r="D16" s="21"/>
      <c r="E16" s="21"/>
      <c r="F16" s="21"/>
      <c r="G16" s="21"/>
      <c r="H16" s="26" t="str">
        <f t="shared" si="1"/>
        <v/>
      </c>
      <c r="I16" s="26" t="str">
        <f t="shared" si="2"/>
        <v/>
      </c>
      <c r="J16" s="20"/>
    </row>
    <row r="17" ht="21.75" customHeight="1">
      <c r="A17" s="15">
        <v>12.0</v>
      </c>
      <c r="B17" s="17"/>
      <c r="C17" s="17"/>
      <c r="D17" s="21"/>
      <c r="E17" s="21"/>
      <c r="F17" s="21"/>
      <c r="G17" s="21"/>
      <c r="H17" s="26" t="str">
        <f t="shared" si="1"/>
        <v/>
      </c>
      <c r="I17" s="26" t="str">
        <f t="shared" si="2"/>
        <v/>
      </c>
      <c r="J17" s="20"/>
    </row>
    <row r="18" ht="21.75" customHeight="1">
      <c r="A18" s="15">
        <v>13.0</v>
      </c>
      <c r="B18" s="17"/>
      <c r="C18" s="17"/>
      <c r="D18" s="21"/>
      <c r="E18" s="21"/>
      <c r="F18" s="21"/>
      <c r="G18" s="21"/>
      <c r="H18" s="26" t="str">
        <f t="shared" si="1"/>
        <v/>
      </c>
      <c r="I18" s="26" t="str">
        <f t="shared" si="2"/>
        <v/>
      </c>
      <c r="J18" s="20"/>
    </row>
    <row r="19" ht="21.75" customHeight="1">
      <c r="A19" s="15">
        <v>14.0</v>
      </c>
      <c r="B19" s="17"/>
      <c r="C19" s="17"/>
      <c r="D19" s="21"/>
      <c r="E19" s="21"/>
      <c r="F19" s="21"/>
      <c r="G19" s="21"/>
      <c r="H19" s="26" t="str">
        <f t="shared" si="1"/>
        <v/>
      </c>
      <c r="I19" s="26" t="str">
        <f t="shared" si="2"/>
        <v/>
      </c>
      <c r="J19" s="20"/>
    </row>
    <row r="20" ht="21.75" customHeight="1">
      <c r="A20" s="15">
        <v>15.0</v>
      </c>
      <c r="B20" s="17"/>
      <c r="C20" s="17"/>
      <c r="D20" s="21"/>
      <c r="E20" s="21"/>
      <c r="F20" s="21"/>
      <c r="G20" s="21"/>
      <c r="H20" s="26" t="str">
        <f t="shared" si="1"/>
        <v/>
      </c>
      <c r="I20" s="26" t="str">
        <f t="shared" si="2"/>
        <v/>
      </c>
      <c r="J20" s="20"/>
    </row>
    <row r="21" ht="21.75" customHeight="1">
      <c r="A21" s="27"/>
      <c r="B21" s="28" t="s">
        <v>144</v>
      </c>
      <c r="C21" s="9"/>
      <c r="D21" s="27"/>
      <c r="E21" s="27"/>
      <c r="F21" s="27"/>
      <c r="G21" s="27"/>
      <c r="H21" s="29" t="str">
        <f>IF(COUNTA(H6:H20)&gt;0,AVERAGE(IF(H6:H20&lt;&gt;"",H6:H20)),"")</f>
        <v>#VALUE!</v>
      </c>
      <c r="I21" s="30" t="str">
        <f t="shared" si="2"/>
        <v>#VALUE!</v>
      </c>
      <c r="J21" s="31" t="s">
        <v>145</v>
      </c>
    </row>
    <row r="22" ht="15.75" customHeight="1"/>
    <row r="23" ht="19.5" customHeight="1">
      <c r="A23" s="5" t="s">
        <v>146</v>
      </c>
      <c r="B23" s="2"/>
      <c r="C23" s="2"/>
      <c r="D23" s="2"/>
      <c r="E23" s="2"/>
      <c r="F23" s="2"/>
      <c r="G23" s="2"/>
      <c r="H23" s="2"/>
      <c r="I23" s="2"/>
      <c r="J23" s="3"/>
    </row>
    <row r="24" ht="21.75" customHeight="1">
      <c r="A24" s="10" t="s">
        <v>147</v>
      </c>
      <c r="B24" s="10" t="s">
        <v>148</v>
      </c>
      <c r="C24" s="10" t="s">
        <v>149</v>
      </c>
      <c r="D24" s="10" t="s">
        <v>150</v>
      </c>
      <c r="E24" s="10" t="s">
        <v>151</v>
      </c>
      <c r="F24" s="10" t="s">
        <v>152</v>
      </c>
    </row>
    <row r="25" ht="19.5" customHeight="1">
      <c r="A25" s="6" t="s">
        <v>153</v>
      </c>
      <c r="B25" s="17"/>
      <c r="C25" s="17"/>
      <c r="D25" s="17"/>
      <c r="E25" s="17"/>
      <c r="F25" s="17"/>
    </row>
    <row r="26" ht="19.5" customHeight="1">
      <c r="A26" s="6" t="s">
        <v>154</v>
      </c>
      <c r="B26" s="17"/>
      <c r="C26" s="17"/>
      <c r="D26" s="17"/>
      <c r="E26" s="17"/>
      <c r="F26" s="17"/>
    </row>
    <row r="27" ht="19.5" customHeight="1">
      <c r="A27" s="6" t="s">
        <v>155</v>
      </c>
      <c r="B27" s="17"/>
      <c r="C27" s="17"/>
      <c r="D27" s="17"/>
      <c r="E27" s="17"/>
      <c r="F27" s="17"/>
    </row>
    <row r="28" ht="19.5" customHeight="1">
      <c r="A28" s="6" t="s">
        <v>156</v>
      </c>
      <c r="B28" s="17"/>
      <c r="C28" s="17"/>
      <c r="D28" s="17"/>
      <c r="E28" s="17"/>
      <c r="F28" s="17"/>
    </row>
    <row r="29" ht="19.5" customHeight="1">
      <c r="A29" s="6" t="s">
        <v>157</v>
      </c>
      <c r="B29" s="17"/>
      <c r="C29" s="17"/>
      <c r="D29" s="17"/>
      <c r="E29" s="17"/>
      <c r="F29" s="17"/>
    </row>
    <row r="30" ht="19.5" customHeight="1">
      <c r="A30" s="6" t="s">
        <v>158</v>
      </c>
      <c r="B30" s="17"/>
      <c r="C30" s="17"/>
      <c r="D30" s="17"/>
      <c r="E30" s="17"/>
      <c r="F30" s="17"/>
    </row>
    <row r="31" ht="19.5" customHeight="1">
      <c r="A31" s="6" t="s">
        <v>159</v>
      </c>
      <c r="B31" s="17"/>
      <c r="C31" s="17"/>
      <c r="D31" s="17"/>
      <c r="E31" s="17"/>
      <c r="F31" s="17"/>
    </row>
    <row r="32" ht="19.5" customHeight="1">
      <c r="A32" s="6" t="s">
        <v>160</v>
      </c>
      <c r="B32" s="17"/>
      <c r="C32" s="17"/>
      <c r="D32" s="17"/>
      <c r="E32" s="17"/>
      <c r="F32" s="17"/>
    </row>
    <row r="33" ht="19.5" customHeight="1">
      <c r="A33" s="6" t="s">
        <v>161</v>
      </c>
      <c r="B33" s="17"/>
      <c r="C33" s="17"/>
      <c r="D33" s="17"/>
      <c r="E33" s="17"/>
      <c r="F33" s="17"/>
    </row>
    <row r="34" ht="15.75" customHeight="1"/>
    <row r="35" ht="19.5" customHeight="1">
      <c r="A35" s="5" t="s">
        <v>162</v>
      </c>
      <c r="B35" s="2"/>
      <c r="C35" s="2"/>
      <c r="D35" s="2"/>
      <c r="E35" s="2"/>
      <c r="F35" s="2"/>
      <c r="G35" s="2"/>
      <c r="H35" s="2"/>
      <c r="I35" s="2"/>
      <c r="J35" s="3"/>
    </row>
    <row r="36" ht="21.75" customHeight="1">
      <c r="A36" s="10" t="s">
        <v>163</v>
      </c>
      <c r="B36" s="10" t="s">
        <v>164</v>
      </c>
      <c r="C36" s="10" t="s">
        <v>165</v>
      </c>
      <c r="D36" s="10" t="s">
        <v>166</v>
      </c>
      <c r="E36" s="10" t="s">
        <v>167</v>
      </c>
      <c r="F36" s="10" t="s">
        <v>168</v>
      </c>
    </row>
    <row r="37" ht="19.5" customHeight="1">
      <c r="A37" s="6" t="s">
        <v>169</v>
      </c>
      <c r="B37" s="17"/>
      <c r="C37" s="17"/>
      <c r="D37" s="17"/>
      <c r="E37" s="17"/>
      <c r="F37" s="17"/>
    </row>
    <row r="38" ht="19.5" customHeight="1">
      <c r="A38" s="6" t="s">
        <v>170</v>
      </c>
      <c r="B38" s="17"/>
      <c r="C38" s="17"/>
      <c r="D38" s="17"/>
      <c r="E38" s="17"/>
      <c r="F38" s="17"/>
    </row>
    <row r="39" ht="19.5" customHeight="1">
      <c r="A39" s="6" t="s">
        <v>171</v>
      </c>
      <c r="B39" s="17"/>
      <c r="C39" s="17"/>
      <c r="D39" s="17"/>
      <c r="E39" s="17"/>
      <c r="F39" s="17"/>
    </row>
    <row r="40" ht="19.5" customHeight="1">
      <c r="A40" s="6" t="s">
        <v>172</v>
      </c>
      <c r="B40" s="17"/>
      <c r="C40" s="17"/>
      <c r="D40" s="17"/>
      <c r="E40" s="17"/>
      <c r="F40" s="17"/>
    </row>
    <row r="41" ht="19.5" customHeight="1">
      <c r="A41" s="6" t="s">
        <v>173</v>
      </c>
      <c r="B41" s="17"/>
      <c r="C41" s="17"/>
      <c r="D41" s="17"/>
      <c r="E41" s="17"/>
      <c r="F41" s="17"/>
    </row>
    <row r="42" ht="19.5" customHeight="1">
      <c r="A42" s="6" t="s">
        <v>174</v>
      </c>
      <c r="B42" s="17"/>
      <c r="C42" s="17"/>
      <c r="D42" s="17"/>
      <c r="E42" s="17"/>
      <c r="F42" s="17"/>
    </row>
    <row r="43" ht="19.5" customHeight="1">
      <c r="A43" s="6" t="s">
        <v>175</v>
      </c>
      <c r="B43" s="17"/>
      <c r="C43" s="17"/>
      <c r="D43" s="17"/>
      <c r="E43" s="17"/>
      <c r="F43" s="1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3:J3"/>
    <mergeCell ref="A4:J4"/>
    <mergeCell ref="B21:C21"/>
    <mergeCell ref="A23:J23"/>
    <mergeCell ref="A35:J3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5.0"/>
    <col customWidth="1" min="3" max="3" width="18.0"/>
    <col customWidth="1" min="4" max="4" width="17.86"/>
    <col customWidth="1" min="5" max="5" width="40.0"/>
    <col customWidth="1" min="6" max="6" width="22.14"/>
    <col customWidth="1" min="7" max="8" width="10.0"/>
    <col customWidth="1" min="9" max="10" width="12.0"/>
    <col customWidth="1" min="11" max="11" width="8.0"/>
    <col customWidth="1" min="12" max="12" width="35.0"/>
    <col customWidth="1" min="13" max="26" width="8.71"/>
  </cols>
  <sheetData>
    <row r="1" ht="31.5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4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18.0" customHeight="1">
      <c r="A3" s="23" t="s">
        <v>178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48.0" customHeight="1">
      <c r="A4" s="10" t="s">
        <v>54</v>
      </c>
      <c r="B4" s="10" t="s">
        <v>179</v>
      </c>
      <c r="C4" s="10" t="s">
        <v>118</v>
      </c>
      <c r="D4" s="10" t="s">
        <v>180</v>
      </c>
      <c r="E4" s="10" t="s">
        <v>136</v>
      </c>
      <c r="F4" s="10" t="s">
        <v>181</v>
      </c>
      <c r="G4" s="10" t="s">
        <v>182</v>
      </c>
      <c r="H4" s="10" t="s">
        <v>183</v>
      </c>
      <c r="I4" s="10" t="s">
        <v>184</v>
      </c>
      <c r="J4" s="10" t="s">
        <v>185</v>
      </c>
      <c r="K4" s="10" t="s">
        <v>186</v>
      </c>
      <c r="L4" s="10" t="s">
        <v>187</v>
      </c>
    </row>
    <row r="5" ht="25.5" customHeight="1">
      <c r="A5" s="15">
        <v>1.0</v>
      </c>
      <c r="B5" s="20"/>
      <c r="C5" s="17"/>
      <c r="D5" s="17"/>
      <c r="E5" s="17"/>
      <c r="F5" s="17"/>
      <c r="G5" s="17"/>
      <c r="H5" s="17"/>
      <c r="I5" s="26" t="str">
        <f t="shared" ref="I5:I16" si="1">IF(AND(E5&lt;&gt;"",F5&lt;&gt;"",G5&lt;&gt;"",H5&lt;&gt;""),(E5*1)+(F5*1.5)+(G5*2)+(H5*1.5),"")</f>
        <v/>
      </c>
      <c r="J5" s="21"/>
      <c r="K5" s="21"/>
      <c r="L5" s="20"/>
    </row>
    <row r="6" ht="25.5" customHeight="1">
      <c r="A6" s="15">
        <v>2.0</v>
      </c>
      <c r="B6" s="20"/>
      <c r="C6" s="17"/>
      <c r="D6" s="17"/>
      <c r="E6" s="17"/>
      <c r="F6" s="17"/>
      <c r="G6" s="17"/>
      <c r="H6" s="17"/>
      <c r="I6" s="26" t="str">
        <f t="shared" si="1"/>
        <v/>
      </c>
      <c r="J6" s="21"/>
      <c r="K6" s="21"/>
      <c r="L6" s="20"/>
    </row>
    <row r="7" ht="25.5" customHeight="1">
      <c r="A7" s="15">
        <v>3.0</v>
      </c>
      <c r="B7" s="20"/>
      <c r="C7" s="17"/>
      <c r="D7" s="17"/>
      <c r="E7" s="17"/>
      <c r="F7" s="17"/>
      <c r="G7" s="17"/>
      <c r="H7" s="17"/>
      <c r="I7" s="26" t="str">
        <f t="shared" si="1"/>
        <v/>
      </c>
      <c r="J7" s="21"/>
      <c r="K7" s="21"/>
      <c r="L7" s="20"/>
    </row>
    <row r="8" ht="25.5" customHeight="1">
      <c r="A8" s="15">
        <v>4.0</v>
      </c>
      <c r="B8" s="20"/>
      <c r="C8" s="17"/>
      <c r="D8" s="17"/>
      <c r="E8" s="17"/>
      <c r="F8" s="17"/>
      <c r="G8" s="17"/>
      <c r="H8" s="17"/>
      <c r="I8" s="26" t="str">
        <f t="shared" si="1"/>
        <v/>
      </c>
      <c r="J8" s="21"/>
      <c r="K8" s="21"/>
      <c r="L8" s="20"/>
    </row>
    <row r="9" ht="25.5" customHeight="1">
      <c r="A9" s="15">
        <v>5.0</v>
      </c>
      <c r="B9" s="20"/>
      <c r="C9" s="17"/>
      <c r="D9" s="17"/>
      <c r="E9" s="17"/>
      <c r="F9" s="17"/>
      <c r="G9" s="17"/>
      <c r="H9" s="17"/>
      <c r="I9" s="26" t="str">
        <f t="shared" si="1"/>
        <v/>
      </c>
      <c r="J9" s="21"/>
      <c r="K9" s="21"/>
      <c r="L9" s="20"/>
    </row>
    <row r="10" ht="25.5" customHeight="1">
      <c r="A10" s="15">
        <v>6.0</v>
      </c>
      <c r="B10" s="20"/>
      <c r="C10" s="17"/>
      <c r="D10" s="17"/>
      <c r="E10" s="17"/>
      <c r="F10" s="17"/>
      <c r="G10" s="17"/>
      <c r="H10" s="17"/>
      <c r="I10" s="26" t="str">
        <f t="shared" si="1"/>
        <v/>
      </c>
      <c r="J10" s="21"/>
      <c r="K10" s="21"/>
      <c r="L10" s="20"/>
    </row>
    <row r="11" ht="25.5" customHeight="1">
      <c r="A11" s="15">
        <v>7.0</v>
      </c>
      <c r="B11" s="20"/>
      <c r="C11" s="17"/>
      <c r="D11" s="17"/>
      <c r="E11" s="17"/>
      <c r="F11" s="17"/>
      <c r="G11" s="17"/>
      <c r="H11" s="17"/>
      <c r="I11" s="26" t="str">
        <f t="shared" si="1"/>
        <v/>
      </c>
      <c r="J11" s="21"/>
      <c r="K11" s="21"/>
      <c r="L11" s="20"/>
    </row>
    <row r="12" ht="25.5" customHeight="1">
      <c r="A12" s="15">
        <v>8.0</v>
      </c>
      <c r="B12" s="20"/>
      <c r="C12" s="17"/>
      <c r="D12" s="17"/>
      <c r="E12" s="17"/>
      <c r="F12" s="17"/>
      <c r="G12" s="17"/>
      <c r="H12" s="17"/>
      <c r="I12" s="26" t="str">
        <f t="shared" si="1"/>
        <v/>
      </c>
      <c r="J12" s="21"/>
      <c r="K12" s="21"/>
      <c r="L12" s="20"/>
    </row>
    <row r="13" ht="25.5" customHeight="1">
      <c r="A13" s="15">
        <v>9.0</v>
      </c>
      <c r="B13" s="20"/>
      <c r="C13" s="17"/>
      <c r="D13" s="17"/>
      <c r="E13" s="17"/>
      <c r="F13" s="17"/>
      <c r="G13" s="17"/>
      <c r="H13" s="17"/>
      <c r="I13" s="26" t="str">
        <f t="shared" si="1"/>
        <v/>
      </c>
      <c r="J13" s="21"/>
      <c r="K13" s="21"/>
      <c r="L13" s="20"/>
    </row>
    <row r="14" ht="25.5" customHeight="1">
      <c r="A14" s="15">
        <v>10.0</v>
      </c>
      <c r="B14" s="20"/>
      <c r="C14" s="17"/>
      <c r="D14" s="17"/>
      <c r="E14" s="17"/>
      <c r="F14" s="17"/>
      <c r="G14" s="17"/>
      <c r="H14" s="17"/>
      <c r="I14" s="26" t="str">
        <f t="shared" si="1"/>
        <v/>
      </c>
      <c r="J14" s="21"/>
      <c r="K14" s="21"/>
      <c r="L14" s="20"/>
    </row>
    <row r="15" ht="25.5" customHeight="1">
      <c r="A15" s="15">
        <v>11.0</v>
      </c>
      <c r="B15" s="20"/>
      <c r="C15" s="17"/>
      <c r="D15" s="17"/>
      <c r="E15" s="17"/>
      <c r="F15" s="17"/>
      <c r="G15" s="17"/>
      <c r="H15" s="17"/>
      <c r="I15" s="26" t="str">
        <f t="shared" si="1"/>
        <v/>
      </c>
      <c r="J15" s="21"/>
      <c r="K15" s="21"/>
      <c r="L15" s="20"/>
    </row>
    <row r="16" ht="25.5" customHeight="1">
      <c r="A16" s="15">
        <v>12.0</v>
      </c>
      <c r="B16" s="20"/>
      <c r="C16" s="17"/>
      <c r="D16" s="17"/>
      <c r="E16" s="17"/>
      <c r="F16" s="17"/>
      <c r="G16" s="17"/>
      <c r="H16" s="17"/>
      <c r="I16" s="26" t="str">
        <f t="shared" si="1"/>
        <v/>
      </c>
      <c r="J16" s="21"/>
      <c r="K16" s="21"/>
      <c r="L16" s="20"/>
    </row>
    <row r="18" ht="19.5" customHeight="1">
      <c r="A18" s="5" t="s">
        <v>188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ht="21.75" customHeight="1">
      <c r="A19" s="10" t="s">
        <v>189</v>
      </c>
      <c r="B19" s="10" t="s">
        <v>190</v>
      </c>
      <c r="C19" s="10" t="s">
        <v>191</v>
      </c>
      <c r="D19" s="10" t="s">
        <v>192</v>
      </c>
      <c r="E19" s="10" t="s">
        <v>193</v>
      </c>
      <c r="F19" s="10" t="s">
        <v>194</v>
      </c>
    </row>
    <row r="20" ht="21.75" customHeight="1">
      <c r="A20" s="32">
        <v>1.0</v>
      </c>
      <c r="B20" s="17"/>
      <c r="C20" s="17"/>
      <c r="D20" s="17"/>
      <c r="E20" s="20"/>
      <c r="F20" s="17"/>
    </row>
    <row r="21" ht="21.75" customHeight="1">
      <c r="A21" s="32">
        <v>2.0</v>
      </c>
      <c r="B21" s="17"/>
      <c r="C21" s="17"/>
      <c r="D21" s="17"/>
      <c r="E21" s="20"/>
      <c r="F21" s="17"/>
    </row>
    <row r="22" ht="21.75" customHeight="1">
      <c r="A22" s="32">
        <v>3.0</v>
      </c>
      <c r="B22" s="17"/>
      <c r="C22" s="17"/>
      <c r="D22" s="17"/>
      <c r="E22" s="20"/>
      <c r="F22" s="17"/>
    </row>
    <row r="23" ht="21.75" customHeight="1">
      <c r="A23" s="32">
        <v>4.0</v>
      </c>
      <c r="B23" s="17"/>
      <c r="C23" s="17"/>
      <c r="D23" s="17"/>
      <c r="E23" s="20"/>
      <c r="F23" s="17"/>
    </row>
    <row r="24" ht="21.75" customHeight="1">
      <c r="A24" s="32">
        <v>5.0</v>
      </c>
      <c r="B24" s="17"/>
      <c r="C24" s="17"/>
      <c r="D24" s="17"/>
      <c r="E24" s="20"/>
      <c r="F24" s="17"/>
    </row>
    <row r="25" ht="15.75" customHeight="1"/>
    <row r="26" ht="18.0" customHeight="1">
      <c r="A26" s="19" t="s">
        <v>195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3:L3"/>
    <mergeCell ref="A18:L18"/>
    <mergeCell ref="A26:L2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6.71"/>
    <col customWidth="1" min="2" max="2" width="18.0"/>
    <col customWidth="1" min="3" max="3" width="12.0"/>
    <col customWidth="1" min="4" max="4" width="28.0"/>
    <col customWidth="1" min="5" max="5" width="20.0"/>
    <col customWidth="1" min="6" max="6" width="18.0"/>
    <col customWidth="1" min="7" max="26" width="8.71"/>
  </cols>
  <sheetData>
    <row r="1" ht="31.5" customHeight="1">
      <c r="A1" s="1" t="s">
        <v>196</v>
      </c>
      <c r="B1" s="2"/>
      <c r="C1" s="2"/>
      <c r="D1" s="2"/>
      <c r="E1" s="2"/>
      <c r="F1" s="3"/>
    </row>
    <row r="2" ht="19.5" customHeight="1">
      <c r="A2" s="4" t="s">
        <v>197</v>
      </c>
      <c r="B2" s="2"/>
      <c r="C2" s="2"/>
      <c r="D2" s="2"/>
      <c r="E2" s="2"/>
      <c r="F2" s="3"/>
    </row>
    <row r="3" ht="33.75" customHeight="1">
      <c r="A3" s="23" t="s">
        <v>198</v>
      </c>
      <c r="B3" s="2"/>
      <c r="C3" s="2"/>
      <c r="D3" s="2"/>
      <c r="E3" s="2"/>
      <c r="F3" s="3"/>
    </row>
    <row r="5" ht="19.5" customHeight="1">
      <c r="A5" s="5" t="s">
        <v>199</v>
      </c>
      <c r="B5" s="2"/>
      <c r="C5" s="2"/>
      <c r="D5" s="2"/>
      <c r="E5" s="2"/>
      <c r="F5" s="3"/>
    </row>
    <row r="6" ht="21.75" customHeight="1">
      <c r="A6" s="10" t="s">
        <v>200</v>
      </c>
      <c r="B6" s="10" t="s">
        <v>201</v>
      </c>
      <c r="C6" s="10" t="s">
        <v>202</v>
      </c>
      <c r="D6" s="10" t="s">
        <v>203</v>
      </c>
    </row>
    <row r="7" ht="19.5" customHeight="1">
      <c r="A7" s="6" t="s">
        <v>204</v>
      </c>
      <c r="B7" s="33">
        <v>4.0</v>
      </c>
      <c r="C7" s="21" t="s">
        <v>205</v>
      </c>
      <c r="D7" s="17"/>
    </row>
    <row r="8" ht="19.5" customHeight="1">
      <c r="A8" s="6" t="s">
        <v>206</v>
      </c>
      <c r="B8" s="33">
        <v>6.0</v>
      </c>
      <c r="C8" s="21" t="s">
        <v>205</v>
      </c>
      <c r="D8" s="17"/>
    </row>
    <row r="9" ht="19.5" customHeight="1">
      <c r="A9" s="6" t="s">
        <v>207</v>
      </c>
      <c r="B9" s="33">
        <v>2.0</v>
      </c>
      <c r="C9" s="21" t="s">
        <v>208</v>
      </c>
      <c r="D9" s="17"/>
    </row>
    <row r="10" ht="19.5" customHeight="1">
      <c r="A10" s="6" t="s">
        <v>209</v>
      </c>
      <c r="B10" s="33">
        <v>6.0</v>
      </c>
      <c r="C10" s="21" t="s">
        <v>210</v>
      </c>
      <c r="D10" s="17"/>
    </row>
    <row r="11" ht="19.5" customHeight="1">
      <c r="A11" s="6" t="s">
        <v>211</v>
      </c>
      <c r="B11" s="33">
        <v>4.0</v>
      </c>
      <c r="C11" s="21" t="s">
        <v>208</v>
      </c>
      <c r="D11" s="17"/>
    </row>
    <row r="12" ht="19.5" customHeight="1">
      <c r="A12" s="6" t="s">
        <v>212</v>
      </c>
      <c r="B12" s="33">
        <v>2.0</v>
      </c>
      <c r="C12" s="21" t="s">
        <v>213</v>
      </c>
      <c r="D12" s="17"/>
    </row>
    <row r="14" ht="19.5" customHeight="1">
      <c r="A14" s="34" t="s">
        <v>214</v>
      </c>
      <c r="B14" s="2"/>
      <c r="C14" s="2"/>
      <c r="D14" s="2"/>
      <c r="E14" s="2"/>
      <c r="F14" s="3"/>
    </row>
    <row r="15" ht="18.0" customHeight="1">
      <c r="A15" s="6" t="s">
        <v>190</v>
      </c>
      <c r="B15" s="7"/>
      <c r="C15" s="8"/>
      <c r="D15" s="8"/>
      <c r="E15" s="8"/>
      <c r="F15" s="9"/>
    </row>
    <row r="16" ht="18.0" customHeight="1">
      <c r="A16" s="6" t="s">
        <v>215</v>
      </c>
      <c r="B16" s="7"/>
      <c r="C16" s="8"/>
      <c r="D16" s="9"/>
    </row>
    <row r="17" ht="18.0" customHeight="1">
      <c r="A17" s="6" t="s">
        <v>216</v>
      </c>
      <c r="B17" s="7"/>
      <c r="C17" s="8"/>
      <c r="D17" s="8"/>
      <c r="E17" s="8"/>
      <c r="F17" s="9"/>
    </row>
    <row r="18" ht="21.75" customHeight="1">
      <c r="A18" s="10" t="s">
        <v>217</v>
      </c>
      <c r="B18" s="10" t="s">
        <v>201</v>
      </c>
      <c r="C18" s="10" t="s">
        <v>202</v>
      </c>
      <c r="D18" s="10" t="s">
        <v>218</v>
      </c>
      <c r="E18" s="10" t="s">
        <v>219</v>
      </c>
    </row>
    <row r="19" ht="19.5" customHeight="1">
      <c r="A19" s="35" t="s">
        <v>220</v>
      </c>
      <c r="B19" s="36"/>
      <c r="C19" s="21" t="s">
        <v>221</v>
      </c>
      <c r="D19" s="37" t="s">
        <v>222</v>
      </c>
      <c r="E19" s="38"/>
    </row>
    <row r="20" ht="19.5" customHeight="1">
      <c r="A20" s="35" t="s">
        <v>223</v>
      </c>
      <c r="B20" s="39">
        <f>B7</f>
        <v>4</v>
      </c>
      <c r="C20" s="21" t="s">
        <v>224</v>
      </c>
      <c r="D20" s="37" t="s">
        <v>225</v>
      </c>
      <c r="E20" s="38"/>
    </row>
    <row r="21" ht="19.5" customHeight="1">
      <c r="A21" s="35" t="s">
        <v>226</v>
      </c>
      <c r="B21" s="40">
        <v>1222.0</v>
      </c>
      <c r="C21" s="21" t="s">
        <v>208</v>
      </c>
      <c r="D21" s="37" t="str">
        <f> Hours/wk × Hourly rate × 52</f>
        <v>#ERROR!</v>
      </c>
      <c r="E21" s="38"/>
    </row>
    <row r="22" ht="19.5" customHeight="1">
      <c r="A22" s="35" t="s">
        <v>227</v>
      </c>
      <c r="B22" s="36"/>
      <c r="C22" s="21" t="s">
        <v>208</v>
      </c>
      <c r="D22" s="37" t="s">
        <v>228</v>
      </c>
      <c r="E22" s="38"/>
    </row>
    <row r="23" ht="19.5" customHeight="1">
      <c r="A23" s="35" t="s">
        <v>229</v>
      </c>
      <c r="B23" s="36"/>
      <c r="C23" s="21" t="s">
        <v>208</v>
      </c>
      <c r="D23" s="37" t="s">
        <v>230</v>
      </c>
      <c r="E23" s="38"/>
    </row>
    <row r="24" ht="19.5" customHeight="1">
      <c r="A24" s="35" t="s">
        <v>231</v>
      </c>
      <c r="B24" s="36"/>
      <c r="C24" s="21" t="s">
        <v>208</v>
      </c>
      <c r="D24" s="37" t="s">
        <v>232</v>
      </c>
      <c r="E24" s="38"/>
    </row>
    <row r="25" ht="19.5" customHeight="1">
      <c r="A25" s="41" t="s">
        <v>233</v>
      </c>
      <c r="B25" s="36"/>
      <c r="C25" s="42" t="s">
        <v>208</v>
      </c>
      <c r="D25" s="43" t="str">
        <f> Annual saving − Build cost − Maintenance</f>
        <v>#ERROR!</v>
      </c>
      <c r="E25" s="44"/>
    </row>
    <row r="26" ht="19.5" customHeight="1">
      <c r="A26" s="41" t="s">
        <v>234</v>
      </c>
      <c r="B26" s="36"/>
      <c r="C26" s="42" t="s">
        <v>235</v>
      </c>
      <c r="D26" s="43" t="str">
        <f> Build cost ÷ Monthly saving</f>
        <v>#ERROR!</v>
      </c>
      <c r="E26" s="44"/>
    </row>
    <row r="27" ht="6.0" customHeight="1"/>
    <row r="28" ht="19.5" customHeight="1">
      <c r="A28" s="5" t="s">
        <v>236</v>
      </c>
      <c r="B28" s="2"/>
      <c r="C28" s="2"/>
      <c r="D28" s="2"/>
      <c r="E28" s="2"/>
      <c r="F28" s="3"/>
    </row>
    <row r="29" ht="18.0" customHeight="1">
      <c r="A29" s="6" t="s">
        <v>190</v>
      </c>
      <c r="B29" s="7"/>
      <c r="C29" s="8"/>
      <c r="D29" s="8"/>
      <c r="E29" s="8"/>
      <c r="F29" s="9"/>
    </row>
    <row r="30" ht="18.0" customHeight="1">
      <c r="A30" s="6" t="s">
        <v>215</v>
      </c>
      <c r="B30" s="7"/>
      <c r="C30" s="8"/>
      <c r="D30" s="9"/>
    </row>
    <row r="31" ht="18.0" customHeight="1">
      <c r="A31" s="6" t="s">
        <v>216</v>
      </c>
      <c r="B31" s="7"/>
      <c r="C31" s="8"/>
      <c r="D31" s="8"/>
      <c r="E31" s="8"/>
      <c r="F31" s="9"/>
    </row>
    <row r="32" ht="21.75" customHeight="1">
      <c r="A32" s="10" t="s">
        <v>217</v>
      </c>
      <c r="B32" s="10" t="s">
        <v>201</v>
      </c>
      <c r="C32" s="10" t="s">
        <v>202</v>
      </c>
      <c r="D32" s="10" t="s">
        <v>218</v>
      </c>
      <c r="E32" s="10" t="s">
        <v>219</v>
      </c>
    </row>
    <row r="33" ht="19.5" customHeight="1">
      <c r="A33" s="35" t="s">
        <v>220</v>
      </c>
      <c r="B33" s="36"/>
      <c r="C33" s="21" t="s">
        <v>221</v>
      </c>
      <c r="D33" s="37" t="s">
        <v>222</v>
      </c>
      <c r="E33" s="38"/>
    </row>
    <row r="34" ht="19.5" customHeight="1">
      <c r="A34" s="35" t="s">
        <v>223</v>
      </c>
      <c r="B34" s="39">
        <f>B7</f>
        <v>4</v>
      </c>
      <c r="C34" s="21" t="s">
        <v>224</v>
      </c>
      <c r="D34" s="37" t="s">
        <v>225</v>
      </c>
      <c r="E34" s="38"/>
    </row>
    <row r="35" ht="19.5" customHeight="1">
      <c r="A35" s="35" t="s">
        <v>226</v>
      </c>
      <c r="B35" s="36"/>
      <c r="C35" s="21" t="s">
        <v>208</v>
      </c>
      <c r="D35" s="37" t="str">
        <f> Hours/wk × Hourly rate × 52</f>
        <v>#ERROR!</v>
      </c>
      <c r="E35" s="38"/>
    </row>
    <row r="36" ht="19.5" customHeight="1">
      <c r="A36" s="35" t="s">
        <v>227</v>
      </c>
      <c r="B36" s="36"/>
      <c r="C36" s="21" t="s">
        <v>208</v>
      </c>
      <c r="D36" s="37" t="s">
        <v>228</v>
      </c>
      <c r="E36" s="38"/>
    </row>
    <row r="37" ht="19.5" customHeight="1">
      <c r="A37" s="35" t="s">
        <v>229</v>
      </c>
      <c r="B37" s="36"/>
      <c r="C37" s="21" t="s">
        <v>208</v>
      </c>
      <c r="D37" s="37" t="s">
        <v>230</v>
      </c>
      <c r="E37" s="38"/>
    </row>
    <row r="38" ht="19.5" customHeight="1">
      <c r="A38" s="35" t="s">
        <v>231</v>
      </c>
      <c r="B38" s="36"/>
      <c r="C38" s="21" t="s">
        <v>208</v>
      </c>
      <c r="D38" s="37" t="s">
        <v>232</v>
      </c>
      <c r="E38" s="38"/>
    </row>
    <row r="39" ht="19.5" customHeight="1">
      <c r="A39" s="41" t="s">
        <v>233</v>
      </c>
      <c r="B39" s="36"/>
      <c r="C39" s="42" t="s">
        <v>208</v>
      </c>
      <c r="D39" s="43" t="str">
        <f> Annual saving − Build cost − Maintenance</f>
        <v>#ERROR!</v>
      </c>
      <c r="E39" s="44"/>
    </row>
    <row r="40" ht="19.5" customHeight="1">
      <c r="A40" s="41" t="s">
        <v>234</v>
      </c>
      <c r="B40" s="36"/>
      <c r="C40" s="42" t="s">
        <v>235</v>
      </c>
      <c r="D40" s="43" t="str">
        <f> Build cost ÷ Monthly saving</f>
        <v>#ERROR!</v>
      </c>
      <c r="E40" s="44"/>
    </row>
    <row r="41" ht="6.0" customHeight="1"/>
    <row r="42" ht="19.5" customHeight="1">
      <c r="A42" s="5" t="s">
        <v>237</v>
      </c>
      <c r="B42" s="2"/>
      <c r="C42" s="2"/>
      <c r="D42" s="2"/>
      <c r="E42" s="2"/>
      <c r="F42" s="3"/>
    </row>
    <row r="43" ht="18.0" customHeight="1">
      <c r="A43" s="6" t="s">
        <v>190</v>
      </c>
      <c r="B43" s="7"/>
      <c r="C43" s="8"/>
      <c r="D43" s="8"/>
      <c r="E43" s="8"/>
      <c r="F43" s="9"/>
    </row>
    <row r="44" ht="18.0" customHeight="1">
      <c r="A44" s="6" t="s">
        <v>215</v>
      </c>
      <c r="B44" s="7"/>
      <c r="C44" s="8"/>
      <c r="D44" s="9"/>
    </row>
    <row r="45" ht="18.0" customHeight="1">
      <c r="A45" s="6" t="s">
        <v>216</v>
      </c>
      <c r="B45" s="7"/>
      <c r="C45" s="8"/>
      <c r="D45" s="8"/>
      <c r="E45" s="8"/>
      <c r="F45" s="9"/>
    </row>
    <row r="46" ht="21.75" customHeight="1">
      <c r="A46" s="10" t="s">
        <v>217</v>
      </c>
      <c r="B46" s="10" t="s">
        <v>201</v>
      </c>
      <c r="C46" s="10" t="s">
        <v>202</v>
      </c>
      <c r="D46" s="10" t="s">
        <v>218</v>
      </c>
      <c r="E46" s="10" t="s">
        <v>219</v>
      </c>
    </row>
    <row r="47" ht="19.5" customHeight="1">
      <c r="A47" s="35" t="s">
        <v>220</v>
      </c>
      <c r="B47" s="36"/>
      <c r="C47" s="21" t="s">
        <v>221</v>
      </c>
      <c r="D47" s="37" t="s">
        <v>222</v>
      </c>
      <c r="E47" s="38"/>
    </row>
    <row r="48" ht="19.5" customHeight="1">
      <c r="A48" s="35" t="s">
        <v>223</v>
      </c>
      <c r="B48" s="39">
        <f>B7</f>
        <v>4</v>
      </c>
      <c r="C48" s="21" t="s">
        <v>224</v>
      </c>
      <c r="D48" s="37" t="s">
        <v>225</v>
      </c>
      <c r="E48" s="38"/>
    </row>
    <row r="49" ht="19.5" customHeight="1">
      <c r="A49" s="35" t="s">
        <v>226</v>
      </c>
      <c r="B49" s="36"/>
      <c r="C49" s="21" t="s">
        <v>208</v>
      </c>
      <c r="D49" s="37" t="str">
        <f> Hours/wk × Hourly rate × 52</f>
        <v>#ERROR!</v>
      </c>
      <c r="E49" s="38"/>
    </row>
    <row r="50" ht="19.5" customHeight="1">
      <c r="A50" s="35" t="s">
        <v>227</v>
      </c>
      <c r="B50" s="36"/>
      <c r="C50" s="21" t="s">
        <v>208</v>
      </c>
      <c r="D50" s="37" t="s">
        <v>228</v>
      </c>
      <c r="E50" s="38"/>
    </row>
    <row r="51" ht="19.5" customHeight="1">
      <c r="A51" s="35" t="s">
        <v>229</v>
      </c>
      <c r="B51" s="36"/>
      <c r="C51" s="21" t="s">
        <v>208</v>
      </c>
      <c r="D51" s="37" t="s">
        <v>230</v>
      </c>
      <c r="E51" s="38"/>
    </row>
    <row r="52" ht="19.5" customHeight="1">
      <c r="A52" s="35" t="s">
        <v>231</v>
      </c>
      <c r="B52" s="36"/>
      <c r="C52" s="21" t="s">
        <v>208</v>
      </c>
      <c r="D52" s="37" t="s">
        <v>232</v>
      </c>
      <c r="E52" s="38"/>
    </row>
    <row r="53" ht="19.5" customHeight="1">
      <c r="A53" s="41" t="s">
        <v>233</v>
      </c>
      <c r="B53" s="36"/>
      <c r="C53" s="42" t="s">
        <v>208</v>
      </c>
      <c r="D53" s="43" t="str">
        <f> Annual saving − Build cost − Maintenance</f>
        <v>#ERROR!</v>
      </c>
      <c r="E53" s="44"/>
    </row>
    <row r="54" ht="19.5" customHeight="1">
      <c r="A54" s="41" t="s">
        <v>234</v>
      </c>
      <c r="B54" s="36"/>
      <c r="C54" s="42" t="s">
        <v>235</v>
      </c>
      <c r="D54" s="43" t="str">
        <f> Build cost ÷ Monthly saving</f>
        <v>#ERROR!</v>
      </c>
      <c r="E54" s="44"/>
    </row>
    <row r="55" ht="6.0" customHeight="1"/>
    <row r="56" ht="19.5" customHeight="1">
      <c r="A56" s="5" t="s">
        <v>238</v>
      </c>
      <c r="B56" s="2"/>
      <c r="C56" s="2"/>
      <c r="D56" s="2"/>
      <c r="E56" s="2"/>
      <c r="F56" s="3"/>
    </row>
    <row r="57" ht="18.0" customHeight="1">
      <c r="A57" s="6" t="s">
        <v>190</v>
      </c>
      <c r="B57" s="7"/>
      <c r="C57" s="8"/>
      <c r="D57" s="8"/>
      <c r="E57" s="8"/>
      <c r="F57" s="9"/>
    </row>
    <row r="58" ht="18.0" customHeight="1">
      <c r="A58" s="6" t="s">
        <v>215</v>
      </c>
      <c r="B58" s="7"/>
      <c r="C58" s="8"/>
      <c r="D58" s="9"/>
    </row>
    <row r="59" ht="18.0" customHeight="1">
      <c r="A59" s="6" t="s">
        <v>216</v>
      </c>
      <c r="B59" s="7"/>
      <c r="C59" s="8"/>
      <c r="D59" s="8"/>
      <c r="E59" s="8"/>
      <c r="F59" s="9"/>
    </row>
    <row r="60" ht="21.75" customHeight="1">
      <c r="A60" s="10" t="s">
        <v>217</v>
      </c>
      <c r="B60" s="10" t="s">
        <v>201</v>
      </c>
      <c r="C60" s="10" t="s">
        <v>202</v>
      </c>
      <c r="D60" s="10" t="s">
        <v>218</v>
      </c>
      <c r="E60" s="10" t="s">
        <v>219</v>
      </c>
    </row>
    <row r="61" ht="19.5" customHeight="1">
      <c r="A61" s="35" t="s">
        <v>220</v>
      </c>
      <c r="B61" s="36"/>
      <c r="C61" s="21" t="s">
        <v>221</v>
      </c>
      <c r="D61" s="37" t="s">
        <v>222</v>
      </c>
      <c r="E61" s="38"/>
    </row>
    <row r="62" ht="19.5" customHeight="1">
      <c r="A62" s="35" t="s">
        <v>223</v>
      </c>
      <c r="B62" s="39">
        <f>B7</f>
        <v>4</v>
      </c>
      <c r="C62" s="21" t="s">
        <v>224</v>
      </c>
      <c r="D62" s="37" t="s">
        <v>225</v>
      </c>
      <c r="E62" s="38"/>
    </row>
    <row r="63" ht="19.5" customHeight="1">
      <c r="A63" s="35" t="s">
        <v>226</v>
      </c>
      <c r="B63" s="36"/>
      <c r="C63" s="21" t="s">
        <v>208</v>
      </c>
      <c r="D63" s="37" t="str">
        <f> Hours/wk × Hourly rate × 52</f>
        <v>#ERROR!</v>
      </c>
      <c r="E63" s="38"/>
    </row>
    <row r="64" ht="19.5" customHeight="1">
      <c r="A64" s="35" t="s">
        <v>227</v>
      </c>
      <c r="B64" s="36"/>
      <c r="C64" s="21" t="s">
        <v>208</v>
      </c>
      <c r="D64" s="37" t="s">
        <v>228</v>
      </c>
      <c r="E64" s="38"/>
    </row>
    <row r="65" ht="19.5" customHeight="1">
      <c r="A65" s="35" t="s">
        <v>229</v>
      </c>
      <c r="B65" s="36"/>
      <c r="C65" s="21" t="s">
        <v>208</v>
      </c>
      <c r="D65" s="37" t="s">
        <v>230</v>
      </c>
      <c r="E65" s="38"/>
    </row>
    <row r="66" ht="19.5" customHeight="1">
      <c r="A66" s="35" t="s">
        <v>231</v>
      </c>
      <c r="B66" s="36"/>
      <c r="C66" s="21" t="s">
        <v>208</v>
      </c>
      <c r="D66" s="37" t="s">
        <v>232</v>
      </c>
      <c r="E66" s="38"/>
    </row>
    <row r="67" ht="19.5" customHeight="1">
      <c r="A67" s="41" t="s">
        <v>233</v>
      </c>
      <c r="B67" s="36"/>
      <c r="C67" s="42" t="s">
        <v>208</v>
      </c>
      <c r="D67" s="43" t="str">
        <f> Annual saving − Build cost − Maintenance</f>
        <v>#ERROR!</v>
      </c>
      <c r="E67" s="44"/>
    </row>
    <row r="68" ht="19.5" customHeight="1">
      <c r="A68" s="41" t="s">
        <v>234</v>
      </c>
      <c r="B68" s="36"/>
      <c r="C68" s="42" t="s">
        <v>235</v>
      </c>
      <c r="D68" s="43" t="str">
        <f> Build cost ÷ Monthly saving</f>
        <v>#ERROR!</v>
      </c>
      <c r="E68" s="44"/>
    </row>
    <row r="69" ht="6.0" customHeight="1"/>
    <row r="70" ht="19.5" customHeight="1">
      <c r="A70" s="5" t="s">
        <v>239</v>
      </c>
      <c r="B70" s="2"/>
      <c r="C70" s="2"/>
      <c r="D70" s="2"/>
      <c r="E70" s="2"/>
      <c r="F70" s="3"/>
    </row>
    <row r="71" ht="18.0" customHeight="1">
      <c r="A71" s="6" t="s">
        <v>190</v>
      </c>
      <c r="B71" s="7"/>
      <c r="C71" s="8"/>
      <c r="D71" s="8"/>
      <c r="E71" s="8"/>
      <c r="F71" s="9"/>
    </row>
    <row r="72" ht="18.0" customHeight="1">
      <c r="A72" s="6" t="s">
        <v>215</v>
      </c>
      <c r="B72" s="7"/>
      <c r="C72" s="8"/>
      <c r="D72" s="9"/>
    </row>
    <row r="73" ht="18.0" customHeight="1">
      <c r="A73" s="6" t="s">
        <v>216</v>
      </c>
      <c r="B73" s="7"/>
      <c r="C73" s="8"/>
      <c r="D73" s="8"/>
      <c r="E73" s="8"/>
      <c r="F73" s="9"/>
    </row>
    <row r="74" ht="21.75" customHeight="1">
      <c r="A74" s="10" t="s">
        <v>217</v>
      </c>
      <c r="B74" s="10" t="s">
        <v>201</v>
      </c>
      <c r="C74" s="10" t="s">
        <v>202</v>
      </c>
      <c r="D74" s="10" t="s">
        <v>218</v>
      </c>
      <c r="E74" s="10" t="s">
        <v>219</v>
      </c>
    </row>
    <row r="75" ht="19.5" customHeight="1">
      <c r="A75" s="35" t="s">
        <v>220</v>
      </c>
      <c r="B75" s="36"/>
      <c r="C75" s="21" t="s">
        <v>221</v>
      </c>
      <c r="D75" s="37" t="s">
        <v>222</v>
      </c>
      <c r="E75" s="38"/>
    </row>
    <row r="76" ht="19.5" customHeight="1">
      <c r="A76" s="35" t="s">
        <v>223</v>
      </c>
      <c r="B76" s="39">
        <f>B7</f>
        <v>4</v>
      </c>
      <c r="C76" s="21" t="s">
        <v>224</v>
      </c>
      <c r="D76" s="37" t="s">
        <v>225</v>
      </c>
      <c r="E76" s="38"/>
    </row>
    <row r="77" ht="19.5" customHeight="1">
      <c r="A77" s="35" t="s">
        <v>226</v>
      </c>
      <c r="B77" s="36"/>
      <c r="C77" s="21" t="s">
        <v>208</v>
      </c>
      <c r="D77" s="37" t="str">
        <f> Hours/wk × Hourly rate × 52</f>
        <v>#ERROR!</v>
      </c>
      <c r="E77" s="38"/>
    </row>
    <row r="78" ht="19.5" customHeight="1">
      <c r="A78" s="35" t="s">
        <v>227</v>
      </c>
      <c r="B78" s="36"/>
      <c r="C78" s="21" t="s">
        <v>208</v>
      </c>
      <c r="D78" s="37" t="s">
        <v>228</v>
      </c>
      <c r="E78" s="38"/>
    </row>
    <row r="79" ht="19.5" customHeight="1">
      <c r="A79" s="35" t="s">
        <v>229</v>
      </c>
      <c r="B79" s="36"/>
      <c r="C79" s="21" t="s">
        <v>208</v>
      </c>
      <c r="D79" s="37" t="s">
        <v>230</v>
      </c>
      <c r="E79" s="38"/>
    </row>
    <row r="80" ht="19.5" customHeight="1">
      <c r="A80" s="35" t="s">
        <v>231</v>
      </c>
      <c r="B80" s="36"/>
      <c r="C80" s="21" t="s">
        <v>208</v>
      </c>
      <c r="D80" s="37" t="s">
        <v>232</v>
      </c>
      <c r="E80" s="38"/>
    </row>
    <row r="81" ht="19.5" customHeight="1">
      <c r="A81" s="41" t="s">
        <v>233</v>
      </c>
      <c r="B81" s="36"/>
      <c r="C81" s="42" t="s">
        <v>208</v>
      </c>
      <c r="D81" s="43" t="str">
        <f> Annual saving − Build cost − Maintenance</f>
        <v>#ERROR!</v>
      </c>
      <c r="E81" s="44"/>
    </row>
    <row r="82" ht="19.5" customHeight="1">
      <c r="A82" s="41" t="s">
        <v>234</v>
      </c>
      <c r="B82" s="36"/>
      <c r="C82" s="42" t="s">
        <v>235</v>
      </c>
      <c r="D82" s="43" t="str">
        <f> Build cost ÷ Monthly saving</f>
        <v>#ERROR!</v>
      </c>
      <c r="E82" s="44"/>
    </row>
    <row r="83" ht="6.0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F1"/>
    <mergeCell ref="A2:F2"/>
    <mergeCell ref="A3:F3"/>
    <mergeCell ref="A5:F5"/>
    <mergeCell ref="A14:F14"/>
    <mergeCell ref="B15:F15"/>
    <mergeCell ref="B16:D16"/>
    <mergeCell ref="B17:F17"/>
    <mergeCell ref="A28:F28"/>
    <mergeCell ref="B29:F29"/>
    <mergeCell ref="B30:D30"/>
    <mergeCell ref="B31:F31"/>
    <mergeCell ref="A42:F42"/>
    <mergeCell ref="B43:F43"/>
    <mergeCell ref="B71:F71"/>
    <mergeCell ref="B72:D72"/>
    <mergeCell ref="B73:F73"/>
    <mergeCell ref="B44:D44"/>
    <mergeCell ref="B45:F45"/>
    <mergeCell ref="A56:F56"/>
    <mergeCell ref="B57:F57"/>
    <mergeCell ref="B58:D58"/>
    <mergeCell ref="B59:F59"/>
    <mergeCell ref="A70:F7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65.0"/>
    <col customWidth="1" min="3" max="3" width="28.0"/>
    <col customWidth="1" min="4" max="4" width="55.0"/>
    <col customWidth="1" min="5" max="6" width="20.0"/>
    <col customWidth="1" min="7" max="26" width="8.71"/>
  </cols>
  <sheetData>
    <row r="1" ht="31.5" customHeight="1">
      <c r="A1" s="1" t="s">
        <v>240</v>
      </c>
      <c r="B1" s="2"/>
      <c r="C1" s="2"/>
      <c r="D1" s="2"/>
      <c r="E1" s="2"/>
      <c r="F1" s="3"/>
    </row>
    <row r="2" ht="19.5" customHeight="1">
      <c r="A2" s="4" t="s">
        <v>241</v>
      </c>
      <c r="B2" s="2"/>
      <c r="C2" s="2"/>
      <c r="D2" s="2"/>
      <c r="E2" s="2"/>
      <c r="F2" s="3"/>
    </row>
    <row r="3" ht="19.5" customHeight="1">
      <c r="A3" s="5" t="s">
        <v>242</v>
      </c>
      <c r="B3" s="2"/>
      <c r="C3" s="2"/>
      <c r="D3" s="2"/>
      <c r="E3" s="2"/>
      <c r="F3" s="3"/>
    </row>
    <row r="4" ht="21.75" customHeight="1">
      <c r="A4" s="10" t="s">
        <v>55</v>
      </c>
      <c r="B4" s="10" t="s">
        <v>56</v>
      </c>
      <c r="C4" s="10" t="s">
        <v>58</v>
      </c>
    </row>
    <row r="5">
      <c r="A5" s="16" t="s">
        <v>243</v>
      </c>
      <c r="B5" s="17"/>
      <c r="C5" s="18" t="s">
        <v>63</v>
      </c>
    </row>
    <row r="6">
      <c r="A6" s="16" t="s">
        <v>244</v>
      </c>
      <c r="B6" s="17"/>
      <c r="C6" s="18" t="s">
        <v>63</v>
      </c>
    </row>
    <row r="7">
      <c r="A7" s="16" t="s">
        <v>245</v>
      </c>
      <c r="B7" s="17"/>
      <c r="C7" s="18" t="s">
        <v>63</v>
      </c>
    </row>
    <row r="8">
      <c r="A8" s="16" t="s">
        <v>246</v>
      </c>
      <c r="B8" s="17"/>
      <c r="C8" s="18" t="s">
        <v>63</v>
      </c>
    </row>
    <row r="9">
      <c r="A9" s="16" t="s">
        <v>247</v>
      </c>
      <c r="B9" s="17"/>
      <c r="C9" s="18" t="s">
        <v>63</v>
      </c>
    </row>
    <row r="10">
      <c r="A10" s="16" t="s">
        <v>248</v>
      </c>
      <c r="B10" s="17"/>
      <c r="C10" s="18" t="s">
        <v>63</v>
      </c>
    </row>
    <row r="11">
      <c r="A11" s="16" t="s">
        <v>249</v>
      </c>
      <c r="B11" s="17"/>
      <c r="C11" s="18" t="s">
        <v>63</v>
      </c>
    </row>
    <row r="12">
      <c r="A12" s="16" t="s">
        <v>250</v>
      </c>
      <c r="B12" s="17"/>
      <c r="C12" s="18" t="s">
        <v>63</v>
      </c>
    </row>
    <row r="13">
      <c r="A13" s="16" t="s">
        <v>251</v>
      </c>
      <c r="B13" s="17"/>
      <c r="C13" s="18" t="s">
        <v>63</v>
      </c>
    </row>
    <row r="14">
      <c r="A14" s="16" t="s">
        <v>252</v>
      </c>
      <c r="B14" s="17"/>
      <c r="C14" s="18" t="s">
        <v>63</v>
      </c>
    </row>
    <row r="16" ht="19.5" customHeight="1">
      <c r="A16" s="5" t="s">
        <v>253</v>
      </c>
      <c r="B16" s="2"/>
      <c r="C16" s="2"/>
      <c r="D16" s="2"/>
      <c r="E16" s="2"/>
      <c r="F16" s="3"/>
    </row>
    <row r="17" ht="21.75" customHeight="1">
      <c r="A17" s="10" t="s">
        <v>254</v>
      </c>
      <c r="B17" s="10" t="s">
        <v>26</v>
      </c>
      <c r="C17" s="10" t="s">
        <v>255</v>
      </c>
      <c r="D17" s="10" t="s">
        <v>256</v>
      </c>
    </row>
    <row r="18" ht="25.5" customHeight="1">
      <c r="A18" s="11" t="s">
        <v>257</v>
      </c>
      <c r="B18" s="11" t="s">
        <v>258</v>
      </c>
      <c r="C18" s="11" t="s">
        <v>259</v>
      </c>
      <c r="D18" s="16" t="s">
        <v>260</v>
      </c>
    </row>
    <row r="19" ht="25.5" customHeight="1">
      <c r="A19" s="11" t="s">
        <v>261</v>
      </c>
      <c r="B19" s="11" t="s">
        <v>262</v>
      </c>
      <c r="C19" s="11" t="s">
        <v>263</v>
      </c>
      <c r="D19" s="16" t="s">
        <v>264</v>
      </c>
    </row>
    <row r="20" ht="25.5" customHeight="1">
      <c r="A20" s="11" t="s">
        <v>265</v>
      </c>
      <c r="B20" s="11" t="s">
        <v>266</v>
      </c>
      <c r="C20" s="11" t="s">
        <v>267</v>
      </c>
      <c r="D20" s="16" t="s">
        <v>268</v>
      </c>
    </row>
    <row r="21" ht="25.5" customHeight="1">
      <c r="A21" s="11" t="s">
        <v>269</v>
      </c>
      <c r="B21" s="11" t="s">
        <v>270</v>
      </c>
      <c r="C21" s="11" t="s">
        <v>271</v>
      </c>
      <c r="D21" s="16" t="s">
        <v>272</v>
      </c>
    </row>
    <row r="22" ht="25.5" customHeight="1">
      <c r="A22" s="11" t="s">
        <v>273</v>
      </c>
      <c r="B22" s="11" t="s">
        <v>266</v>
      </c>
      <c r="C22" s="11" t="s">
        <v>274</v>
      </c>
      <c r="D22" s="16" t="s">
        <v>275</v>
      </c>
    </row>
    <row r="23" ht="25.5" customHeight="1">
      <c r="A23" s="11" t="s">
        <v>276</v>
      </c>
      <c r="B23" s="11" t="s">
        <v>277</v>
      </c>
      <c r="C23" s="11" t="s">
        <v>278</v>
      </c>
      <c r="D23" s="16" t="s">
        <v>279</v>
      </c>
    </row>
    <row r="24" ht="25.5" customHeight="1">
      <c r="A24" s="11" t="s">
        <v>280</v>
      </c>
      <c r="B24" s="11" t="s">
        <v>281</v>
      </c>
      <c r="C24" s="11" t="s">
        <v>282</v>
      </c>
      <c r="D24" s="16" t="s">
        <v>283</v>
      </c>
    </row>
    <row r="25" ht="25.5" customHeight="1">
      <c r="A25" s="14" t="s">
        <v>284</v>
      </c>
      <c r="B25" s="14" t="s">
        <v>262</v>
      </c>
      <c r="C25" s="14" t="s">
        <v>285</v>
      </c>
      <c r="D25" s="45" t="s">
        <v>286</v>
      </c>
    </row>
    <row r="26" ht="25.5" customHeight="1">
      <c r="A26" s="11" t="s">
        <v>287</v>
      </c>
      <c r="B26" s="11" t="s">
        <v>288</v>
      </c>
      <c r="C26" s="11" t="s">
        <v>289</v>
      </c>
      <c r="D26" s="16" t="s">
        <v>290</v>
      </c>
    </row>
    <row r="27" ht="15.75" customHeight="1"/>
    <row r="28" ht="19.5" customHeight="1">
      <c r="A28" s="5" t="s">
        <v>291</v>
      </c>
      <c r="B28" s="2"/>
      <c r="C28" s="2"/>
      <c r="D28" s="2"/>
      <c r="E28" s="2"/>
      <c r="F28" s="3"/>
    </row>
    <row r="29" ht="60.0" customHeight="1">
      <c r="A29" s="46" t="s">
        <v>292</v>
      </c>
      <c r="B29" s="2"/>
      <c r="C29" s="2"/>
      <c r="D29" s="2"/>
      <c r="E29" s="2"/>
      <c r="F29" s="3"/>
    </row>
    <row r="30" ht="15.75" customHeight="1"/>
    <row r="31" ht="19.5" customHeight="1">
      <c r="A31" s="5" t="s">
        <v>293</v>
      </c>
      <c r="B31" s="2"/>
      <c r="C31" s="2"/>
      <c r="D31" s="2"/>
      <c r="E31" s="2"/>
      <c r="F31" s="3"/>
    </row>
    <row r="32" ht="21.75" customHeight="1">
      <c r="A32" s="10" t="s">
        <v>294</v>
      </c>
      <c r="B32" s="10" t="s">
        <v>295</v>
      </c>
    </row>
    <row r="33" ht="39.75" customHeight="1">
      <c r="A33" s="45" t="s">
        <v>296</v>
      </c>
      <c r="B33" s="16" t="s">
        <v>297</v>
      </c>
    </row>
    <row r="34" ht="39.75" customHeight="1">
      <c r="A34" s="45" t="s">
        <v>298</v>
      </c>
      <c r="B34" s="16" t="s">
        <v>299</v>
      </c>
    </row>
    <row r="35" ht="39.75" customHeight="1">
      <c r="A35" s="45" t="s">
        <v>300</v>
      </c>
      <c r="B35" s="16" t="s">
        <v>301</v>
      </c>
    </row>
    <row r="36" ht="39.75" customHeight="1">
      <c r="A36" s="45" t="s">
        <v>302</v>
      </c>
      <c r="B36" s="16" t="s">
        <v>303</v>
      </c>
    </row>
    <row r="37" ht="39.75" customHeight="1">
      <c r="A37" s="45" t="s">
        <v>304</v>
      </c>
      <c r="B37" s="16" t="s">
        <v>305</v>
      </c>
    </row>
    <row r="38" ht="15.75" customHeight="1"/>
    <row r="39" ht="19.5" customHeight="1">
      <c r="A39" s="5" t="s">
        <v>306</v>
      </c>
      <c r="B39" s="2"/>
      <c r="C39" s="2"/>
      <c r="D39" s="2"/>
      <c r="E39" s="2"/>
      <c r="F39" s="3"/>
    </row>
    <row r="40" ht="18.0" customHeight="1">
      <c r="A40" s="6" t="s">
        <v>307</v>
      </c>
      <c r="B40" s="7"/>
      <c r="C40" s="8"/>
      <c r="D40" s="8"/>
      <c r="E40" s="8"/>
      <c r="F40" s="9"/>
    </row>
    <row r="41" ht="18.0" customHeight="1">
      <c r="A41" s="6" t="s">
        <v>308</v>
      </c>
      <c r="B41" s="7"/>
      <c r="C41" s="8"/>
      <c r="D41" s="8"/>
      <c r="E41" s="8"/>
      <c r="F41" s="9"/>
    </row>
    <row r="42" ht="18.0" customHeight="1">
      <c r="A42" s="6" t="s">
        <v>309</v>
      </c>
      <c r="B42" s="7"/>
      <c r="C42" s="8"/>
      <c r="D42" s="8"/>
      <c r="E42" s="8"/>
      <c r="F42" s="9"/>
    </row>
    <row r="43" ht="18.0" customHeight="1">
      <c r="A43" s="6" t="s">
        <v>310</v>
      </c>
      <c r="B43" s="7"/>
      <c r="C43" s="8"/>
      <c r="D43" s="8"/>
      <c r="E43" s="8"/>
      <c r="F43" s="9"/>
    </row>
    <row r="44" ht="18.0" customHeight="1">
      <c r="A44" s="6" t="s">
        <v>311</v>
      </c>
      <c r="B44" s="7"/>
      <c r="C44" s="8"/>
      <c r="D44" s="8"/>
      <c r="E44" s="8"/>
      <c r="F44" s="9"/>
    </row>
    <row r="45" ht="18.0" customHeight="1">
      <c r="A45" s="6" t="s">
        <v>312</v>
      </c>
      <c r="B45" s="7"/>
      <c r="C45" s="8"/>
      <c r="D45" s="8"/>
      <c r="E45" s="8"/>
      <c r="F45" s="9"/>
    </row>
    <row r="46" ht="18.0" customHeight="1">
      <c r="A46" s="6" t="s">
        <v>313</v>
      </c>
      <c r="B46" s="7"/>
      <c r="C46" s="8"/>
      <c r="D46" s="8"/>
      <c r="E46" s="8"/>
      <c r="F46" s="9"/>
    </row>
    <row r="47" ht="18.0" customHeight="1">
      <c r="A47" s="6" t="s">
        <v>314</v>
      </c>
      <c r="B47" s="7"/>
      <c r="C47" s="8"/>
      <c r="D47" s="8"/>
      <c r="E47" s="8"/>
      <c r="F47" s="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F1"/>
    <mergeCell ref="A2:F2"/>
    <mergeCell ref="A3:F3"/>
    <mergeCell ref="A16:F16"/>
    <mergeCell ref="A28:F28"/>
    <mergeCell ref="A29:F29"/>
    <mergeCell ref="A31:F31"/>
    <mergeCell ref="B46:F46"/>
    <mergeCell ref="B47:F47"/>
    <mergeCell ref="A39:F39"/>
    <mergeCell ref="B40:F40"/>
    <mergeCell ref="B41:F41"/>
    <mergeCell ref="B42:F42"/>
    <mergeCell ref="B43:F43"/>
    <mergeCell ref="B44:F44"/>
    <mergeCell ref="B45:F4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4.57"/>
    <col customWidth="1" min="2" max="2" width="40.0"/>
    <col customWidth="1" min="3" max="3" width="35.0"/>
    <col customWidth="1" min="4" max="4" width="30.0"/>
    <col customWidth="1" min="5" max="6" width="20.0"/>
    <col customWidth="1" min="7" max="26" width="8.71"/>
  </cols>
  <sheetData>
    <row r="1" ht="31.5" customHeight="1">
      <c r="A1" s="1" t="s">
        <v>315</v>
      </c>
      <c r="B1" s="2"/>
      <c r="C1" s="2"/>
      <c r="D1" s="2"/>
      <c r="E1" s="2"/>
      <c r="F1" s="3"/>
    </row>
    <row r="2" ht="19.5" customHeight="1">
      <c r="A2" s="4" t="s">
        <v>316</v>
      </c>
      <c r="B2" s="2"/>
      <c r="C2" s="2"/>
      <c r="D2" s="2"/>
      <c r="E2" s="2"/>
      <c r="F2" s="3"/>
    </row>
    <row r="3" ht="19.5" customHeight="1">
      <c r="A3" s="5" t="s">
        <v>317</v>
      </c>
      <c r="B3" s="2"/>
      <c r="C3" s="2"/>
      <c r="D3" s="2"/>
      <c r="E3" s="2"/>
      <c r="F3" s="3"/>
    </row>
    <row r="4">
      <c r="A4" s="6" t="s">
        <v>318</v>
      </c>
      <c r="B4" s="7"/>
      <c r="C4" s="8"/>
      <c r="D4" s="8"/>
      <c r="E4" s="8"/>
      <c r="F4" s="9"/>
    </row>
    <row r="5" ht="18.0" customHeight="1">
      <c r="A5" s="6" t="s">
        <v>319</v>
      </c>
      <c r="B5" s="7"/>
      <c r="C5" s="8"/>
      <c r="D5" s="8"/>
      <c r="E5" s="8"/>
      <c r="F5" s="9"/>
    </row>
    <row r="6" ht="18.0" customHeight="1">
      <c r="A6" s="6" t="s">
        <v>320</v>
      </c>
      <c r="B6" s="7"/>
      <c r="C6" s="8"/>
      <c r="D6" s="8"/>
      <c r="E6" s="8"/>
      <c r="F6" s="9"/>
    </row>
    <row r="7" ht="18.0" customHeight="1">
      <c r="A7" s="6" t="s">
        <v>321</v>
      </c>
      <c r="B7" s="7"/>
      <c r="C7" s="8"/>
      <c r="D7" s="8"/>
      <c r="E7" s="8"/>
      <c r="F7" s="9"/>
    </row>
    <row r="8" ht="18.0" customHeight="1">
      <c r="A8" s="6" t="s">
        <v>322</v>
      </c>
      <c r="B8" s="7"/>
      <c r="C8" s="8"/>
      <c r="D8" s="8"/>
      <c r="E8" s="8"/>
      <c r="F8" s="9"/>
    </row>
    <row r="9" ht="18.0" customHeight="1">
      <c r="A9" s="6" t="s">
        <v>323</v>
      </c>
      <c r="B9" s="7"/>
      <c r="C9" s="8"/>
      <c r="D9" s="8"/>
      <c r="E9" s="8"/>
      <c r="F9" s="9"/>
    </row>
    <row r="10" ht="18.0" customHeight="1">
      <c r="A10" s="6" t="s">
        <v>75</v>
      </c>
      <c r="B10" s="7"/>
      <c r="C10" s="8"/>
      <c r="D10" s="8"/>
      <c r="E10" s="8"/>
      <c r="F10" s="9"/>
    </row>
    <row r="11" ht="18.0" customHeight="1">
      <c r="A11" s="6" t="s">
        <v>324</v>
      </c>
      <c r="B11" s="7"/>
      <c r="C11" s="8"/>
      <c r="D11" s="8"/>
      <c r="E11" s="8"/>
      <c r="F11" s="9"/>
    </row>
    <row r="13" ht="19.5" customHeight="1">
      <c r="A13" s="5" t="s">
        <v>325</v>
      </c>
      <c r="B13" s="2"/>
      <c r="C13" s="2"/>
      <c r="D13" s="2"/>
      <c r="E13" s="2"/>
      <c r="F13" s="3"/>
    </row>
    <row r="14" ht="19.5" customHeight="1">
      <c r="A14" s="47" t="s">
        <v>326</v>
      </c>
      <c r="B14" s="2"/>
      <c r="C14" s="2"/>
      <c r="D14" s="2"/>
      <c r="E14" s="2"/>
      <c r="F14" s="3"/>
    </row>
    <row r="15" ht="60.0" customHeight="1">
      <c r="A15" s="48" t="s">
        <v>327</v>
      </c>
      <c r="B15" s="49"/>
      <c r="C15" s="49"/>
      <c r="D15" s="49"/>
      <c r="E15" s="49"/>
      <c r="F15" s="50"/>
    </row>
    <row r="16">
      <c r="A16" s="51"/>
      <c r="B16" s="52"/>
      <c r="C16" s="52"/>
      <c r="D16" s="52"/>
      <c r="E16" s="52"/>
      <c r="F16" s="53"/>
    </row>
    <row r="18" ht="19.5" customHeight="1">
      <c r="A18" s="47" t="s">
        <v>328</v>
      </c>
      <c r="B18" s="2"/>
      <c r="C18" s="2"/>
      <c r="D18" s="2"/>
      <c r="E18" s="2"/>
      <c r="F18" s="3"/>
    </row>
    <row r="19" ht="60.0" customHeight="1">
      <c r="A19" s="48" t="s">
        <v>329</v>
      </c>
      <c r="B19" s="49"/>
      <c r="C19" s="49"/>
      <c r="D19" s="49"/>
      <c r="E19" s="49"/>
      <c r="F19" s="50"/>
    </row>
    <row r="20">
      <c r="A20" s="51"/>
      <c r="B20" s="52"/>
      <c r="C20" s="52"/>
      <c r="D20" s="52"/>
      <c r="E20" s="52"/>
      <c r="F20" s="53"/>
    </row>
    <row r="21" ht="15.75" customHeight="1"/>
    <row r="22" ht="19.5" customHeight="1">
      <c r="A22" s="47" t="s">
        <v>330</v>
      </c>
      <c r="B22" s="2"/>
      <c r="C22" s="2"/>
      <c r="D22" s="2"/>
      <c r="E22" s="2"/>
      <c r="F22" s="3"/>
    </row>
    <row r="23" ht="60.0" customHeight="1">
      <c r="A23" s="48" t="s">
        <v>331</v>
      </c>
      <c r="B23" s="49"/>
      <c r="C23" s="49"/>
      <c r="D23" s="49"/>
      <c r="E23" s="49"/>
      <c r="F23" s="50"/>
    </row>
    <row r="24" ht="15.75" customHeight="1">
      <c r="A24" s="51"/>
      <c r="B24" s="52"/>
      <c r="C24" s="52"/>
      <c r="D24" s="52"/>
      <c r="E24" s="52"/>
      <c r="F24" s="53"/>
    </row>
    <row r="25" ht="15.75" customHeight="1"/>
    <row r="26" ht="19.5" customHeight="1">
      <c r="A26" s="47" t="s">
        <v>332</v>
      </c>
      <c r="B26" s="2"/>
      <c r="C26" s="2"/>
      <c r="D26" s="2"/>
      <c r="E26" s="2"/>
      <c r="F26" s="3"/>
    </row>
    <row r="27" ht="60.0" customHeight="1">
      <c r="A27" s="48" t="s">
        <v>333</v>
      </c>
      <c r="B27" s="49"/>
      <c r="C27" s="49"/>
      <c r="D27" s="49"/>
      <c r="E27" s="49"/>
      <c r="F27" s="50"/>
    </row>
    <row r="28" ht="15.75" customHeight="1">
      <c r="A28" s="51"/>
      <c r="B28" s="52"/>
      <c r="C28" s="52"/>
      <c r="D28" s="52"/>
      <c r="E28" s="52"/>
      <c r="F28" s="53"/>
    </row>
    <row r="29" ht="15.75" customHeight="1"/>
    <row r="30" ht="19.5" customHeight="1">
      <c r="A30" s="47" t="s">
        <v>334</v>
      </c>
      <c r="B30" s="2"/>
      <c r="C30" s="2"/>
      <c r="D30" s="2"/>
      <c r="E30" s="2"/>
      <c r="F30" s="3"/>
    </row>
    <row r="31" ht="60.0" customHeight="1">
      <c r="A31" s="48" t="s">
        <v>335</v>
      </c>
      <c r="B31" s="49"/>
      <c r="C31" s="49"/>
      <c r="D31" s="49"/>
      <c r="E31" s="49"/>
      <c r="F31" s="50"/>
    </row>
    <row r="32" ht="15.75" customHeight="1">
      <c r="A32" s="51"/>
      <c r="B32" s="52"/>
      <c r="C32" s="52"/>
      <c r="D32" s="52"/>
      <c r="E32" s="52"/>
      <c r="F32" s="53"/>
    </row>
    <row r="33" ht="15.75" customHeight="1"/>
    <row r="34" ht="19.5" customHeight="1">
      <c r="A34" s="47" t="s">
        <v>336</v>
      </c>
      <c r="B34" s="2"/>
      <c r="C34" s="2"/>
      <c r="D34" s="2"/>
      <c r="E34" s="2"/>
      <c r="F34" s="3"/>
    </row>
    <row r="35" ht="60.0" customHeight="1">
      <c r="A35" s="48" t="s">
        <v>337</v>
      </c>
      <c r="B35" s="49"/>
      <c r="C35" s="49"/>
      <c r="D35" s="49"/>
      <c r="E35" s="49"/>
      <c r="F35" s="50"/>
    </row>
    <row r="36" ht="15.75" customHeight="1">
      <c r="A36" s="51"/>
      <c r="B36" s="52"/>
      <c r="C36" s="52"/>
      <c r="D36" s="52"/>
      <c r="E36" s="52"/>
      <c r="F36" s="53"/>
    </row>
    <row r="37" ht="15.75" customHeight="1"/>
    <row r="38" ht="15.75" customHeight="1"/>
    <row r="39" ht="15.75" customHeight="1"/>
    <row r="40" ht="19.5" customHeight="1">
      <c r="A40" s="5" t="s">
        <v>338</v>
      </c>
      <c r="B40" s="2"/>
      <c r="C40" s="2"/>
      <c r="D40" s="2"/>
      <c r="E40" s="2"/>
      <c r="F40" s="3"/>
    </row>
    <row r="41" ht="21.75" customHeight="1">
      <c r="A41" s="10" t="s">
        <v>339</v>
      </c>
      <c r="B41" s="10" t="s">
        <v>340</v>
      </c>
      <c r="C41" s="10" t="s">
        <v>341</v>
      </c>
      <c r="D41" s="10" t="s">
        <v>342</v>
      </c>
    </row>
    <row r="42" ht="21.75" customHeight="1">
      <c r="A42" s="54"/>
      <c r="B42" s="20"/>
      <c r="C42" s="20"/>
      <c r="D42" s="20"/>
    </row>
    <row r="43" ht="21.75" customHeight="1">
      <c r="A43" s="54"/>
      <c r="B43" s="20"/>
      <c r="C43" s="20"/>
      <c r="D43" s="20"/>
    </row>
    <row r="44" ht="21.75" customHeight="1">
      <c r="A44" s="54"/>
      <c r="B44" s="20"/>
      <c r="C44" s="20"/>
      <c r="D44" s="20"/>
    </row>
    <row r="45" ht="21.75" customHeight="1">
      <c r="A45" s="54"/>
      <c r="B45" s="20"/>
      <c r="C45" s="20"/>
      <c r="D45" s="20"/>
    </row>
    <row r="46" ht="21.75" customHeight="1">
      <c r="A46" s="54"/>
      <c r="B46" s="20"/>
      <c r="C46" s="20"/>
      <c r="D46" s="20"/>
    </row>
    <row r="47" ht="21.75" customHeight="1">
      <c r="A47" s="54"/>
      <c r="B47" s="20"/>
      <c r="C47" s="20"/>
      <c r="D47" s="20"/>
    </row>
    <row r="48" ht="21.75" customHeight="1">
      <c r="A48" s="54"/>
      <c r="B48" s="20"/>
      <c r="C48" s="20"/>
      <c r="D48" s="20"/>
    </row>
    <row r="49" ht="21.75" customHeight="1">
      <c r="A49" s="54"/>
      <c r="B49" s="20"/>
      <c r="C49" s="20"/>
      <c r="D49" s="20"/>
    </row>
    <row r="50" ht="21.75" customHeight="1">
      <c r="A50" s="54"/>
      <c r="B50" s="20"/>
      <c r="C50" s="20"/>
      <c r="D50" s="20"/>
    </row>
    <row r="51" ht="21.75" customHeight="1">
      <c r="A51" s="54"/>
      <c r="B51" s="20"/>
      <c r="C51" s="20"/>
      <c r="D51" s="2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A13:F13"/>
    <mergeCell ref="A14:F14"/>
    <mergeCell ref="A15:F16"/>
    <mergeCell ref="A31:F32"/>
    <mergeCell ref="A34:F34"/>
    <mergeCell ref="A35:F36"/>
    <mergeCell ref="A40:F40"/>
    <mergeCell ref="A18:F18"/>
    <mergeCell ref="A19:F20"/>
    <mergeCell ref="A22:F22"/>
    <mergeCell ref="A23:F24"/>
    <mergeCell ref="A26:F26"/>
    <mergeCell ref="A27:F28"/>
    <mergeCell ref="A30:F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2026-04-12T11:39:24Z</dcterms:created>
  <dc:creator>openpyxl</dc:creator>
</cp:coreProperties>
</file>